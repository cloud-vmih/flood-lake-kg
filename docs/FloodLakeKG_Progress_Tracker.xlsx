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92f291bd8ec4ed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882096bf97424fa2"/>
    <x:sheet xmlns:r="http://schemas.openxmlformats.org/officeDocument/2006/relationships" name="Weekly_Tracker" sheetId="2" r:id="Rb039cb350b48498f"/>
    <x:sheet xmlns:r="http://schemas.openxmlformats.org/officeDocument/2006/relationships" name="Milestones" sheetId="3" r:id="Rc5a154c415ab4032"/>
    <x:sheet xmlns:r="http://schemas.openxmlformats.org/officeDocument/2006/relationships" name="Schemas" sheetId="4" r:id="R4002a2a58db54f88"/>
    <x:sheet xmlns:r="http://schemas.openxmlformats.org/officeDocument/2006/relationships" name="Risks" sheetId="5" r:id="R107e69f347ec4dd8"/>
    <x:sheet xmlns:r="http://schemas.openxmlformats.org/officeDocument/2006/relationships" name="Update_Guide" sheetId="6" r:id="R9c68c5b9adac44d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dd/mm/yyyy"/>
    <x:numFmt numFmtId="201" formatCode="0.0%"/>
    <x:numFmt numFmtId="202" formatCode="0%"/>
  </x:numFmts>
  <x:fonts count="5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  <x:font>
      <x:b/>
      <x:sz val="11"/>
      <x:color rgb="FF17365D"/>
      <x:name val="Carlito"/>
    </x:font>
    <x:font>
      <x:b/>
      <x:sz val="11"/>
      <x:color rgb="FF385723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4472C4"/>
      </x:patternFill>
    </x:fill>
    <x:fill>
      <x:patternFill patternType="solid">
        <x:fgColor rgb="FFDCE6F1"/>
      </x:patternFill>
    </x:fill>
    <x:fill>
      <x:patternFill patternType="solid">
        <x:fgColor rgb="FFE2F0D9"/>
      </x:patternFill>
    </x:fill>
  </x:fills>
  <x:borders count="2">
    <x:border/>
    <x:border/>
  </x:borders>
  <x:cellStyleXfs count="1">
    <x:xf numFmtId="0" fontId="0" fillId="0" borderId="0"/>
  </x:cellStyleXfs>
  <x:cellXfs count="4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left"/>
    </x:xf>
    <x:xf numFmtId="0" fontId="3" fillId="4" borderId="0" xfId="0" applyNumberFormat="1" applyFont="1" applyFill="1" applyBorder="1" applyAlignment="1">
      <x:alignment horizontal="left" vertic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horizontal="left"/>
    </x:xf>
    <x:xf numFmtId="0" fontId="3" fillId="4" borderId="1" xfId="0" applyNumberFormat="1" applyFont="1" applyFill="1" applyBorder="1" applyAlignment="1">
      <x:alignment horizontal="left" vertical="center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horizontal="center"/>
    </x:xf>
    <x:xf numFmtId="0" fontId="4" fillId="5" borderId="0" xfId="0" applyNumberFormat="1" applyFont="1" applyFill="1" applyBorder="1" applyAlignment="1">
      <x:alignment horizontal="center" vertical="center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horizontal="center"/>
    </x:xf>
    <x:xf numFmtId="0" fontId="4" fillId="5" borderId="1" xfId="0" applyNumberFormat="1" applyFont="1" applyFill="1" applyBorder="1" applyAlignment="1">
      <x:alignment horizontal="center" vertical="center"/>
    </x:xf>
    <x:xf numFmtId="0" fontId="4" fillId="5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2" fillId="3" borderId="1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dxfs count="3">
    <x:dxf>
      <x:font>
        <x:color rgb="FF385723"/>
      </x:font>
      <x:fill>
        <x:patternFill patternType="solid">
          <x:bgColor rgb="FFE2F0D9"/>
        </x:patternFill>
      </x:fill>
    </x:dxf>
    <x:dxf>
      <x:font>
        <x:color rgb="FF7F6000"/>
      </x:font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4CC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b48d76157174ac9" /><Relationship Type="http://schemas.openxmlformats.org/officeDocument/2006/relationships/theme" Target="/xl/theme/theme1.xml" Id="Raaa5a9607d874de9" /><Relationship Type="http://schemas.openxmlformats.org/officeDocument/2006/relationships/sharedStrings" Target="/xl/sharedStrings.xml" Id="R12ab9194a30449b5" /><Relationship Type="http://schemas.openxmlformats.org/officeDocument/2006/relationships/worksheet" Target="/xl/worksheets/sheet1.xml" Id="R882096bf97424fa2" /><Relationship Type="http://schemas.openxmlformats.org/officeDocument/2006/relationships/worksheet" Target="/xl/worksheets/sheet2.xml" Id="Rb039cb350b48498f" /><Relationship Type="http://schemas.openxmlformats.org/officeDocument/2006/relationships/worksheet" Target="/xl/worksheets/sheet3.xml" Id="Rc5a154c415ab4032" /><Relationship Type="http://schemas.openxmlformats.org/officeDocument/2006/relationships/worksheet" Target="/xl/worksheets/sheet4.xml" Id="R4002a2a58db54f88" /><Relationship Type="http://schemas.openxmlformats.org/officeDocument/2006/relationships/worksheet" Target="/xl/worksheets/sheet5.xml" Id="R107e69f347ec4dd8" /><Relationship Type="http://schemas.openxmlformats.org/officeDocument/2006/relationships/worksheet" Target="/xl/worksheets/sheet6.xml" Id="R9c68c5b9adac44d6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62a1d2f56c114aca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Tasks completed by week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Total</c:v>
          </c:tx>
          <c:cat>
            <c:strRef>
              <c:f>'Dashboard'!$A$11:$A$23</c:f>
              <c:strCache>
                <c:ptCount val="0"/>
              </c:strCache>
            </c:strRef>
          </c:cat>
          <c:val>
            <c:numRef>
              <c:f>'Dashboard'!$B$11:$B$23</c:f>
              <c:numCache>
                <c:formatCode>General</c:formatCode>
                <c:ptCount val="0"/>
              </c:numCache>
            </c:numRef>
          </c:val>
        </c:ser>
        <c:ser>
          <c:idx val="1"/>
          <c:order val="1"/>
          <c:tx>
            <c:v>Done</c:v>
          </c:tx>
          <c:cat>
            <c:strRef>
              <c:f>'Dashboard'!$A$11:$A$23</c:f>
              <c:strCache>
                <c:ptCount val="0"/>
              </c:strCache>
            </c:strRef>
          </c:cat>
          <c:val>
            <c:numRef>
              <c:f>'Dashboard'!$C$11:$C$23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25</xdr:row>
      <xdr:rowOff>0</xdr:rowOff>
    </xdr:from>
    <xdr:to>
      <xdr:col>6</xdr:col>
      <xdr:colOff>0</xdr:colOff>
      <xdr:row>42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62a1d2f56c114aca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WeeklyTasksTable" displayName="WeeklyTasksTable" ref="A1:I104" headerRowCount="1" totalsRowCount="0" totalsRowShown="0">
  <x:tableColumns count="9">
    <x:tableColumn id="1" name="Week"/>
    <x:tableColumn id="2" name="Week Title"/>
    <x:tableColumn id="3" name="Phase"/>
    <x:tableColumn id="4" name="Task ID"/>
    <x:tableColumn id="5" name="Task"/>
    <x:tableColumn id="6" name="Status"/>
    <x:tableColumn id="7" name="Owner"/>
    <x:tableColumn id="8" name="Evidence / Link"/>
    <x:tableColumn id="9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0f6f8d984a734dc7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7a5ca7b2c81d470d" /></Relationships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8" hidden="0" customWidth="1"/>
    <x:col min="4" max="4" width="16" hidden="0" customWidth="1"/>
    <x:col min="5" max="5" width="28" hidden="0" customWidth="1"/>
    <x:col min="6" max="6" width="14" hidden="0" customWidth="1"/>
    <x:col min="8" max="8" width="26" hidden="0" customWidth="1"/>
    <x:col min="9" max="9" width="12" hidden="0" customWidth="1"/>
    <x:col min="10" max="10" width="48" hidden="0" customWidth="1"/>
    <x:col min="11" max="11" width="20" hidden="0" customWidth="1"/>
  </x:cols>
  <x:sheetData>
    <x:row r="1" ht="28" customHeight="1">
      <x:c r="A1" s="5" t="str">
        <x:v>Flood Lakehouse KG — Progress Dashboard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</x:row>
    <x:row r="3">
      <x:c r="A3" s="13" t="str">
        <x:v>Metric</x:v>
      </x:c>
      <x:c r="B3" s="13" t="str">
        <x:v>Value</x:v>
      </x:c>
      <x:c r="D3" s="13" t="str">
        <x:v>Status</x:v>
      </x:c>
      <x:c r="E3" s="13" t="str">
        <x:v>Task count</x:v>
      </x:c>
      <x:c r="H3" s="13" t="str">
        <x:v>Phase</x:v>
      </x:c>
      <x:c r="I3" s="13" t="str">
        <x:v>Weeks</x:v>
      </x:c>
      <x:c r="J3" s="13" t="str">
        <x:v>Main output</x:v>
      </x:c>
      <x:c r="K3" s="13" t="str">
        <x:v>Status</x:v>
      </x:c>
    </x:row>
    <x:row r="4">
      <x:c r="A4" t="str">
        <x:v>Last updated</x:v>
      </x:c>
      <x:c r="B4" s="18" t="n">
        <x:v>46270</x:v>
      </x:c>
      <x:c r="D4" t="str">
        <x:v>Done</x:v>
      </x:c>
      <x:c r="E4" t="n">
        <x:v>19</x:v>
      </x:c>
      <x:c r="H4" t="str">
        <x:v>1. Dữ liệu tĩnh và hồ sơ lưu vực</x:v>
      </x:c>
      <x:c r="I4" t="str">
        <x:v>1</x:v>
      </x:c>
      <x:c r="J4" t="str">
        <x:v>Đề cương, dữ liệu static, AOI L10, static basin profile, mapping và QA</x:v>
      </x:c>
      <x:c r="K4" t="str">
        <x:v>Hoàn thành</x:v>
      </x:c>
    </x:row>
    <x:row r="5">
      <x:c r="A5" t="str">
        <x:v>Project duration</x:v>
      </x:c>
      <x:c r="B5" t="str">
        <x:v>13 weeks</x:v>
      </x:c>
      <x:c r="D5" t="str">
        <x:v>In Progress</x:v>
      </x:c>
      <x:c r="E5" t="n">
        <x:v>1</x:v>
      </x:c>
      <x:c r="H5" t="str">
        <x:v>2. Lakehouse và dữ liệu động</x:v>
      </x:c>
      <x:c r="I5" t="str">
        <x:v>2–4</x:v>
      </x:c>
      <x:c r="J5" t="str">
        <x:v>Kiến trúc, môi trường, schema vật lý, GSMaP, forecast, soil moisture, versioning</x:v>
      </x:c>
      <x:c r="K5" t="str">
        <x:v>Đang thực hiện</x:v>
      </x:c>
    </x:row>
    <x:row r="6">
      <x:c r="A6" t="str">
        <x:v>Total tasks</x:v>
      </x:c>
      <x:c r="B6" t="n">
        <x:v>103</x:v>
      </x:c>
      <x:c r="D6" t="str">
        <x:v>Not Started</x:v>
      </x:c>
      <x:c r="E6" t="n">
        <x:v>83</x:v>
      </x:c>
      <x:c r="H6" t="str">
        <x:v>3. Threat engine và direct exposure</x:v>
      </x:c>
      <x:c r="I6" t="str">
        <x:v>5–6</x:v>
      </x:c>
      <x:c r="J6" t="str">
        <x:v>Trạng thái động, threat score/level, map nguy cơ sang xã và hạ tầng</x:v>
      </x:c>
      <x:c r="K6" t="str">
        <x:v>Chưa bắt đầu</x:v>
      </x:c>
    </x:row>
    <x:row r="7">
      <x:c r="A7" t="str">
        <x:v>Overall completion</x:v>
      </x:c>
      <x:c r="B7" s="20" t="n">
        <x:f>COUNTIF(Weekly_Tracker!$F:$F,"Done")/COUNTA(Weekly_Tracker!$A:$A)</x:f>
        <x:v>0.18269230769230768</x:v>
      </x:c>
      <x:c r="D7" t="str">
        <x:v>Current phase</x:v>
      </x:c>
      <x:c r="E7" t="str">
        <x:v>Phase 2 — Lakehouse &amp; dynamic data</x:v>
      </x:c>
      <x:c r="H7" t="str">
        <x:v>4. Knowledge Graph gia tăng</x:v>
      </x:c>
      <x:c r="I7" t="str">
        <x:v>7–8</x:v>
      </x:c>
      <x:c r="J7" t="str">
        <x:v>Ontology, graph load, change update và cascading-impact queries</x:v>
      </x:c>
      <x:c r="K7" t="str">
        <x:v>Chưa bắt đầu</x:v>
      </x:c>
    </x:row>
    <x:row r="8">
      <x:c r="H8" t="str">
        <x:v>5. Routing, API và dashboard</x:v>
      </x:c>
      <x:c r="I8" t="str">
        <x:v>9–10</x:v>
      </x:c>
      <x:c r="J8" t="str">
        <x:v>Risk-aware routing, API, bản đồ và operational metrics</x:v>
      </x:c>
      <x:c r="K8" t="str">
        <x:v>Chưa bắt đầu</x:v>
      </x:c>
    </x:row>
    <x:row r="9">
      <x:c r="H9" t="str">
        <x:v>6. Đánh giá và báo cáo</x:v>
      </x:c>
      <x:c r="I9" t="str">
        <x:v>11–13</x:v>
      </x:c>
      <x:c r="J9" t="str">
        <x:v>Historical replay, benchmark, case study, báo cáo và demo</x:v>
      </x:c>
      <x:c r="K9" t="str">
        <x:v>Chưa bắt đầu</x:v>
      </x:c>
    </x:row>
    <x:row r="10">
      <x:c r="A10" s="13" t="str">
        <x:v>Week</x:v>
      </x:c>
      <x:c r="B10" s="13" t="str">
        <x:v>Total</x:v>
      </x:c>
      <x:c r="C10" s="13" t="str">
        <x:v>Done</x:v>
      </x:c>
      <x:c r="D10" s="13" t="str">
        <x:v>In Progress</x:v>
      </x:c>
      <x:c r="E10" s="13" t="str">
        <x:v>Not Started</x:v>
      </x:c>
      <x:c r="F10" s="13" t="str">
        <x:v>% Complete</x:v>
      </x:c>
    </x:row>
    <x:row r="11">
      <x:c r="A11" t="n">
        <x:v>1</x:v>
      </x:c>
      <x:c r="B11" t="n">
        <x:f>COUNTIF(Weekly_Tracker!$A:$A,A11)</x:f>
        <x:v>10</x:v>
      </x:c>
      <x:c r="C11" t="n">
        <x:f>COUNTIFS(Weekly_Tracker!$A:$A,A11,Weekly_Tracker!$F:$F,"Done")</x:f>
        <x:v>10</x:v>
      </x:c>
      <x:c r="D11" t="n">
        <x:f>COUNTIFS(Weekly_Tracker!$A:$A,A11,Weekly_Tracker!$F:$F,"In Progress")</x:f>
        <x:v>0</x:v>
      </x:c>
      <x:c r="E11" t="n">
        <x:f>COUNTIFS(Weekly_Tracker!$A:$A,A11,Weekly_Tracker!$F:$F,"Not Started")</x:f>
        <x:v>0</x:v>
      </x:c>
      <x:c r="F11" s="22" t="n">
        <x:f>IF(B11=0,0,C11/B11)</x:f>
        <x:v>1</x:v>
      </x:c>
    </x:row>
    <x:row r="12">
      <x:c r="A12" t="n">
        <x:v>2</x:v>
      </x:c>
      <x:c r="B12" t="n">
        <x:f>COUNTIF(Weekly_Tracker!$A:$A,A12)</x:f>
        <x:v>10</x:v>
      </x:c>
      <x:c r="C12" t="n">
        <x:f>COUNTIFS(Weekly_Tracker!$A:$A,A12,Weekly_Tracker!$F:$F,"Done")</x:f>
        <x:v>9</x:v>
      </x:c>
      <x:c r="D12" t="n">
        <x:f>COUNTIFS(Weekly_Tracker!$A:$A,A12,Weekly_Tracker!$F:$F,"In Progress")</x:f>
        <x:v>1</x:v>
      </x:c>
      <x:c r="E12" t="n">
        <x:f>COUNTIFS(Weekly_Tracker!$A:$A,A12,Weekly_Tracker!$F:$F,"Not Started")</x:f>
        <x:v>0</x:v>
      </x:c>
      <x:c r="F12" s="22" t="n">
        <x:f>IF(B12=0,0,C12/B12)</x:f>
        <x:v>0.9</x:v>
      </x:c>
      <x:c r="H12" s="27" t="str">
        <x:v>Review notes — recommended adjustments</x:v>
      </x:c>
      <x:c r="I12" s="27"/>
      <x:c r="J12" s="27"/>
      <x:c r="K12" s="27"/>
    </x:row>
    <x:row r="13">
      <x:c r="A13" t="n">
        <x:v>3</x:v>
      </x:c>
      <x:c r="B13" t="n">
        <x:f>COUNTIF(Weekly_Tracker!$A:$A,A13)</x:f>
        <x:v>10</x:v>
      </x:c>
      <x:c r="C13" t="n">
        <x:f>COUNTIFS(Weekly_Tracker!$A:$A,A13,Weekly_Tracker!$F:$F,"Done")</x:f>
        <x:v>0</x:v>
      </x:c>
      <x:c r="D13" t="n">
        <x:f>COUNTIFS(Weekly_Tracker!$A:$A,A13,Weekly_Tracker!$F:$F,"In Progress")</x:f>
        <x:v>0</x:v>
      </x:c>
      <x:c r="E13" t="n">
        <x:f>COUNTIFS(Weekly_Tracker!$A:$A,A13,Weekly_Tracker!$F:$F,"Not Started")</x:f>
        <x:v>10</x:v>
      </x:c>
      <x:c r="F13" s="22" t="n">
        <x:f>IF(B13=0,0,C13/B13)</x:f>
        <x:v>0</x:v>
      </x:c>
      <x:c r="H13" s="40" t="str">
        <x:v>#</x:v>
      </x:c>
      <x:c r="I13" s="40" t="str">
        <x:v>Area</x:v>
      </x:c>
      <x:c r="J13" s="40" t="str">
        <x:v>Recommendation</x:v>
      </x:c>
    </x:row>
    <x:row r="14">
      <x:c r="A14" t="n">
        <x:v>4</x:v>
      </x:c>
      <x:c r="B14" t="n">
        <x:f>COUNTIF(Weekly_Tracker!$A:$A,A14)</x:f>
        <x:v>9</x:v>
      </x:c>
      <x:c r="C14" t="n">
        <x:f>COUNTIFS(Weekly_Tracker!$A:$A,A14,Weekly_Tracker!$F:$F,"Done")</x:f>
        <x:v>0</x:v>
      </x:c>
      <x:c r="D14" t="n">
        <x:f>COUNTIFS(Weekly_Tracker!$A:$A,A14,Weekly_Tracker!$F:$F,"In Progress")</x:f>
        <x:v>0</x:v>
      </x:c>
      <x:c r="E14" t="n">
        <x:f>COUNTIFS(Weekly_Tracker!$A:$A,A14,Weekly_Tracker!$F:$F,"Not Started")</x:f>
        <x:v>9</x:v>
      </x:c>
      <x:c r="F14" s="22" t="n">
        <x:f>IF(B14=0,0,C14/B14)</x:f>
        <x:v>0</x:v>
      </x:c>
      <x:c r="H14" s="41" t="str">
        <x:v>1</x:v>
      </x:c>
      <x:c r="I14" s="41" t="str">
        <x:v>Dynamic ingestion</x:v>
      </x:c>
      <x:c r="J14" s="41" t="str">
        <x:v>Replace 'hourly polling by Airflow' with short-interval source watcher + Kafka/Flink event path; keep Airflow as orchestration/monitoring.</x:v>
      </x:c>
    </x:row>
    <x:row r="15">
      <x:c r="A15" t="n">
        <x:v>5</x:v>
      </x:c>
      <x:c r="B15" t="n">
        <x:f>COUNTIF(Weekly_Tracker!$A:$A,A15)</x:f>
        <x:v>7</x:v>
      </x:c>
      <x:c r="C15" t="n">
        <x:f>COUNTIFS(Weekly_Tracker!$A:$A,A15,Weekly_Tracker!$F:$F,"Done")</x:f>
        <x:v>0</x:v>
      </x:c>
      <x:c r="D15" t="n">
        <x:f>COUNTIFS(Weekly_Tracker!$A:$A,A15,Weekly_Tracker!$F:$F,"In Progress")</x:f>
        <x:v>0</x:v>
      </x:c>
      <x:c r="E15" t="n">
        <x:f>COUNTIFS(Weekly_Tracker!$A:$A,A15,Weekly_Tracker!$F:$F,"Not Started")</x:f>
        <x:v>7</x:v>
      </x:c>
      <x:c r="F15" s="22" t="n">
        <x:f>IF(B15=0,0,C15/B15)</x:f>
        <x:v>0</x:v>
      </x:c>
      <x:c r="H15" s="41" t="str">
        <x:v>2</x:v>
      </x:c>
      <x:c r="I15" s="41" t="str">
        <x:v>Kafka flow</x:v>
      </x:c>
      <x:c r="J15" s="41" t="str">
        <x:v>Use Source watcher → Kafka → Flink. Airflow orchestrates the job, but should not be described as the data stream itself.</x:v>
      </x:c>
    </x:row>
    <x:row r="16">
      <x:c r="A16" t="n">
        <x:v>6</x:v>
      </x:c>
      <x:c r="B16" t="n">
        <x:f>COUNTIF(Weekly_Tracker!$A:$A,A16)</x:f>
        <x:v>7</x:v>
      </x:c>
      <x:c r="C16" t="n">
        <x:f>COUNTIFS(Weekly_Tracker!$A:$A,A16,Weekly_Tracker!$F:$F,"Done")</x:f>
        <x:v>0</x:v>
      </x:c>
      <x:c r="D16" t="n">
        <x:f>COUNTIFS(Weekly_Tracker!$A:$A,A16,Weekly_Tracker!$F:$F,"In Progress")</x:f>
        <x:v>0</x:v>
      </x:c>
      <x:c r="E16" t="n">
        <x:f>COUNTIFS(Weekly_Tracker!$A:$A,A16,Weekly_Tracker!$F:$F,"Not Started")</x:f>
        <x:v>7</x:v>
      </x:c>
      <x:c r="F16" s="22" t="n">
        <x:f>IF(B16=0,0,C16/B16)</x:f>
        <x:v>0</x:v>
      </x:c>
      <x:c r="H16" s="41" t="str">
        <x:v>3</x:v>
      </x:c>
      <x:c r="I16" s="41" t="str">
        <x:v>Metadata</x:v>
      </x:c>
      <x:c r="J16" s="41" t="str">
        <x:v>OpenMetadata in Week 10 is optional and unnecessary for the core prototype because Iceberg + Polaris already cover table metadata/catalog.</x:v>
      </x:c>
    </x:row>
    <x:row r="17">
      <x:c r="A17" t="n">
        <x:v>7</x:v>
      </x:c>
      <x:c r="B17" t="n">
        <x:f>COUNTIF(Weekly_Tracker!$A:$A,A17)</x:f>
        <x:v>7</x:v>
      </x:c>
      <x:c r="C17" t="n">
        <x:f>COUNTIFS(Weekly_Tracker!$A:$A,A17,Weekly_Tracker!$F:$F,"Done")</x:f>
        <x:v>0</x:v>
      </x:c>
      <x:c r="D17" t="n">
        <x:f>COUNTIFS(Weekly_Tracker!$A:$A,A17,Weekly_Tracker!$F:$F,"In Progress")</x:f>
        <x:v>0</x:v>
      </x:c>
      <x:c r="E17" t="n">
        <x:f>COUNTIFS(Weekly_Tracker!$A:$A,A17,Weekly_Tracker!$F:$F,"Not Started")</x:f>
        <x:v>7</x:v>
      </x:c>
      <x:c r="F17" s="22" t="n">
        <x:f>IF(B17=0,0,C17/B17)</x:f>
        <x:v>0</x:v>
      </x:c>
      <x:c r="H17" s="41" t="str">
        <x:v>4</x:v>
      </x:c>
      <x:c r="I17" s="41" t="str">
        <x:v>Scope</x:v>
      </x:c>
      <x:c r="J17" s="41" t="str">
        <x:v>Prioritize RQ1–RQ4; keep routing/RQ5 as stretch scope if the 13-week plan becomes tight.</x:v>
      </x:c>
    </x:row>
    <x:row r="18">
      <x:c r="A18" t="n">
        <x:v>8</x:v>
      </x:c>
      <x:c r="B18" t="n">
        <x:f>COUNTIF(Weekly_Tracker!$A:$A,A18)</x:f>
        <x:v>7</x:v>
      </x:c>
      <x:c r="C18" t="n">
        <x:f>COUNTIFS(Weekly_Tracker!$A:$A,A18,Weekly_Tracker!$F:$F,"Done")</x:f>
        <x:v>0</x:v>
      </x:c>
      <x:c r="D18" t="n">
        <x:f>COUNTIFS(Weekly_Tracker!$A:$A,A18,Weekly_Tracker!$F:$F,"In Progress")</x:f>
        <x:v>0</x:v>
      </x:c>
      <x:c r="E18" t="n">
        <x:f>COUNTIFS(Weekly_Tracker!$A:$A,A18,Weekly_Tracker!$F:$F,"Not Started")</x:f>
        <x:v>7</x:v>
      </x:c>
      <x:c r="F18" s="22" t="n">
        <x:f>IF(B18=0,0,C18/B18)</x:f>
        <x:v>0</x:v>
      </x:c>
    </x:row>
    <x:row r="19">
      <x:c r="A19" t="n">
        <x:v>9</x:v>
      </x:c>
      <x:c r="B19" t="n">
        <x:f>COUNTIF(Weekly_Tracker!$A:$A,A19)</x:f>
        <x:v>7</x:v>
      </x:c>
      <x:c r="C19" t="n">
        <x:f>COUNTIFS(Weekly_Tracker!$A:$A,A19,Weekly_Tracker!$F:$F,"Done")</x:f>
        <x:v>0</x:v>
      </x:c>
      <x:c r="D19" t="n">
        <x:f>COUNTIFS(Weekly_Tracker!$A:$A,A19,Weekly_Tracker!$F:$F,"In Progress")</x:f>
        <x:v>0</x:v>
      </x:c>
      <x:c r="E19" t="n">
        <x:f>COUNTIFS(Weekly_Tracker!$A:$A,A19,Weekly_Tracker!$F:$F,"Not Started")</x:f>
        <x:v>7</x:v>
      </x:c>
      <x:c r="F19" s="22" t="n">
        <x:f>IF(B19=0,0,C19/B19)</x:f>
        <x:v>0</x:v>
      </x:c>
    </x:row>
    <x:row r="20">
      <x:c r="A20" t="n">
        <x:v>10</x:v>
      </x:c>
      <x:c r="B20" t="n">
        <x:f>COUNTIF(Weekly_Tracker!$A:$A,A20)</x:f>
        <x:v>8</x:v>
      </x:c>
      <x:c r="C20" t="n">
        <x:f>COUNTIFS(Weekly_Tracker!$A:$A,A20,Weekly_Tracker!$F:$F,"Done")</x:f>
        <x:v>0</x:v>
      </x:c>
      <x:c r="D20" t="n">
        <x:f>COUNTIFS(Weekly_Tracker!$A:$A,A20,Weekly_Tracker!$F:$F,"In Progress")</x:f>
        <x:v>0</x:v>
      </x:c>
      <x:c r="E20" t="n">
        <x:f>COUNTIFS(Weekly_Tracker!$A:$A,A20,Weekly_Tracker!$F:$F,"Not Started")</x:f>
        <x:v>8</x:v>
      </x:c>
      <x:c r="F20" s="22" t="n">
        <x:f>IF(B20=0,0,C20/B20)</x:f>
        <x:v>0</x:v>
      </x:c>
    </x:row>
    <x:row r="21">
      <x:c r="A21" t="n">
        <x:v>11</x:v>
      </x:c>
      <x:c r="B21" t="n">
        <x:f>COUNTIF(Weekly_Tracker!$A:$A,A21)</x:f>
        <x:v>7</x:v>
      </x:c>
      <x:c r="C21" t="n">
        <x:f>COUNTIFS(Weekly_Tracker!$A:$A,A21,Weekly_Tracker!$F:$F,"Done")</x:f>
        <x:v>0</x:v>
      </x:c>
      <x:c r="D21" t="n">
        <x:f>COUNTIFS(Weekly_Tracker!$A:$A,A21,Weekly_Tracker!$F:$F,"In Progress")</x:f>
        <x:v>0</x:v>
      </x:c>
      <x:c r="E21" t="n">
        <x:f>COUNTIFS(Weekly_Tracker!$A:$A,A21,Weekly_Tracker!$F:$F,"Not Started")</x:f>
        <x:v>7</x:v>
      </x:c>
      <x:c r="F21" s="22" t="n">
        <x:f>IF(B21=0,0,C21/B21)</x:f>
        <x:v>0</x:v>
      </x:c>
    </x:row>
    <x:row r="22">
      <x:c r="A22" t="n">
        <x:v>12</x:v>
      </x:c>
      <x:c r="B22" t="n">
        <x:f>COUNTIF(Weekly_Tracker!$A:$A,A22)</x:f>
        <x:v>7</x:v>
      </x:c>
      <x:c r="C22" t="n">
        <x:f>COUNTIFS(Weekly_Tracker!$A:$A,A22,Weekly_Tracker!$F:$F,"Done")</x:f>
        <x:v>0</x:v>
      </x:c>
      <x:c r="D22" t="n">
        <x:f>COUNTIFS(Weekly_Tracker!$A:$A,A22,Weekly_Tracker!$F:$F,"In Progress")</x:f>
        <x:v>0</x:v>
      </x:c>
      <x:c r="E22" t="n">
        <x:f>COUNTIFS(Weekly_Tracker!$A:$A,A22,Weekly_Tracker!$F:$F,"Not Started")</x:f>
        <x:v>7</x:v>
      </x:c>
      <x:c r="F22" s="22" t="n">
        <x:f>IF(B22=0,0,C22/B22)</x:f>
        <x:v>0</x:v>
      </x:c>
    </x:row>
    <x:row r="23">
      <x:c r="A23" t="n">
        <x:v>13</x:v>
      </x:c>
      <x:c r="B23" t="n">
        <x:f>COUNTIF(Weekly_Tracker!$A:$A,A23)</x:f>
        <x:v>7</x:v>
      </x:c>
      <x:c r="C23" t="n">
        <x:f>COUNTIFS(Weekly_Tracker!$A:$A,A23,Weekly_Tracker!$F:$F,"Done")</x:f>
        <x:v>0</x:v>
      </x:c>
      <x:c r="D23" t="n">
        <x:f>COUNTIFS(Weekly_Tracker!$A:$A,A23,Weekly_Tracker!$F:$F,"In Progress")</x:f>
        <x:v>0</x:v>
      </x:c>
      <x:c r="E23" t="n">
        <x:f>COUNTIFS(Weekly_Tracker!$A:$A,A23,Weekly_Tracker!$F:$F,"Not Started")</x:f>
        <x:v>7</x:v>
      </x:c>
      <x:c r="F23" s="22" t="n">
        <x:f>IF(B23=0,0,C23/B23)</x:f>
        <x:v>0</x:v>
      </x:c>
    </x:row>
  </x:sheetData>
  <x:mergeCells>
    <x:mergeCell ref="A1:K1"/>
    <x:mergeCell ref="H12:K12"/>
  </x:mergeCells>
  <x:conditionalFormatting sqref="F11:F23">
    <x:cfRule type="dataBar" priority="1">
      <x:dataBar>
        <x:cfvo type="min"/>
        <x:cfvo type="max"/>
        <x:color rgb="FFA02B93"/>
      </x:dataBar>
      <x:extLst>
        <x:ext xmlns:x14="http://schemas.microsoft.com/office/spreadsheetml/2009/9/main" uri="{B025F937-C7B1-47D3-B67F-A62EFF666E3E}">
          <x14:id>{E5D2A047-4238-8741-E2B3-85669B88D1C8}</x14:id>
        </x:ext>
      </x:extLst>
    </x:cfRule>
  </x:conditionalFormatting>
  <x:pageMargins left="0.7" right="0.7" top="0.75" bottom="0.75" header="0.3" footer="0.3"/>
  <x:drawing xmlns:r="http://schemas.openxmlformats.org/officeDocument/2006/relationships" r:id="R0f6f8d984a734dc7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E5D2A047-4238-8741-E2B3-85669B88D1C8}">
            <x14:dataBar gradient="1">
              <x14:cfvo type="min"/>
              <x14:cfvo type="max"/>
              <x14:fillColor rgb="FFA02B93"/>
            </x14:dataBar>
          </x14:cfRule>
          <xm:sqref>F11:F23</xm:sqref>
        </x14:conditionalFormatting>
      </x14:conditionalFormattings>
    </x:ext>
  </x:extLst>
</x:worksheet>
</file>

<file path=xl/worksheets/sheet2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28" hidden="0" customWidth="1"/>
    <x:col min="3" max="3" width="18" hidden="0" customWidth="1"/>
    <x:col min="4" max="4" width="10" hidden="0" customWidth="1"/>
    <x:col min="5" max="5" width="66" hidden="0" customWidth="1"/>
    <x:col min="6" max="6" width="16" hidden="0" customWidth="1"/>
    <x:col min="7" max="7" width="14" hidden="0" customWidth="1"/>
    <x:col min="8" max="8" width="28" hidden="0" customWidth="1"/>
    <x:col min="9" max="9" width="32" hidden="0" customWidth="1"/>
  </x:cols>
  <x:sheetData>
    <x:row r="1">
      <x:c r="A1" s="44" t="str">
        <x:v>Week</x:v>
      </x:c>
      <x:c r="B1" s="44" t="str">
        <x:v>Week Title</x:v>
      </x:c>
      <x:c r="C1" s="44" t="str">
        <x:v>Phase</x:v>
      </x:c>
      <x:c r="D1" s="44" t="str">
        <x:v>Task ID</x:v>
      </x:c>
      <x:c r="E1" s="44" t="str">
        <x:v>Task</x:v>
      </x:c>
      <x:c r="F1" s="44" t="str">
        <x:v>Status</x:v>
      </x:c>
      <x:c r="G1" s="44" t="str">
        <x:v>Owner</x:v>
      </x:c>
      <x:c r="H1" s="44" t="str">
        <x:v>Evidence / Link</x:v>
      </x:c>
      <x:c r="I1" s="44" t="str">
        <x:v>Notes</x:v>
      </x:c>
    </x:row>
    <x:row r="2" ht="36" customHeight="1">
      <x:c r="A2" s="41" t="n">
        <x:v>1</x:v>
      </x:c>
      <x:c r="B2" s="41" t="str">
        <x:v>Đề cương và dữ liệu tĩnh</x:v>
      </x:c>
      <x:c r="C2" s="41" t="str">
        <x:v>Giai đoạn 1 — đã hoàn thành trước 30/08/2026</x:v>
      </x:c>
      <x:c r="D2" s="41" t="str">
        <x:v>W01-01</x:v>
      </x:c>
      <x:c r="E2" s="41" t="str">
        <x:v>Hoàn thiện đề cương tổng thể: bối cảnh, vấn đề nghiên cứu, mục tiêu, câu hỏi nghiên cứu, phạm vi Sơn La, nguồn dữ liệu, phương pháp đánh giá và hạn chế.</x:v>
      </x:c>
      <x:c r="F2" s="41" t="str">
        <x:v>Done</x:v>
      </x:c>
      <x:c r="G2" s="41" t="str"/>
      <x:c r="H2" s="41" t="str"/>
      <x:c r="I2" s="41" t="str"/>
    </x:row>
    <x:row r="3" ht="36" customHeight="1">
      <x:c r="A3" s="41" t="n">
        <x:v>1</x:v>
      </x:c>
      <x:c r="B3" s="41" t="str">
        <x:v>Đề cương và dữ liệu tĩnh</x:v>
      </x:c>
      <x:c r="C3" s="41" t="str">
        <x:v>Giai đoạn 1 — đã hoàn thành trước 30/08/2026</x:v>
      </x:c>
      <x:c r="D3" s="41" t="str">
        <x:v>W01-02</x:v>
      </x:c>
      <x:c r="E3" s="41" t="str">
        <x:v>Chốt HydroBASINS level 10 làm đơn vị hazard và xã làm đơn vị báo cáo/tác động.</x:v>
      </x:c>
      <x:c r="F3" s="41" t="str">
        <x:v>Done</x:v>
      </x:c>
      <x:c r="G3" s="41" t="str"/>
      <x:c r="H3" s="41" t="str"/>
      <x:c r="I3" s="41" t="str"/>
    </x:row>
    <x:row r="4" ht="36" customHeight="1">
      <x:c r="A4" s="41" t="n">
        <x:v>1</x:v>
      </x:c>
      <x:c r="B4" s="41" t="str">
        <x:v>Đề cương và dữ liệu tĩnh</x:v>
      </x:c>
      <x:c r="C4" s="41" t="str">
        <x:v>Giai đoạn 1 — đã hoàn thành trước 30/08/2026</x:v>
      </x:c>
      <x:c r="D4" s="41" t="str">
        <x:v>W01-03</x:v>
      </x:c>
      <x:c r="E4" s="41" t="str">
        <x:v>Xây dựng inventory/catalog và cơ chế tải an toàn, resume, checksum, lineage cơ bản.</x:v>
      </x:c>
      <x:c r="F4" s="41" t="str">
        <x:v>Done</x:v>
      </x:c>
      <x:c r="G4" s="41" t="str"/>
      <x:c r="H4" s="41" t="str"/>
      <x:c r="I4" s="41" t="str"/>
    </x:row>
    <x:row r="5" ht="36" customHeight="1">
      <x:c r="A5" s="41" t="n">
        <x:v>1</x:v>
      </x:c>
      <x:c r="B5" s="41" t="str">
        <x:v>Đề cương và dữ liệu tĩnh</x:v>
      </x:c>
      <x:c r="C5" s="41" t="str">
        <x:v>Giai đoạn 1 — đã hoàn thành trước 30/08/2026</x:v>
      </x:c>
      <x:c r="D5" s="41" t="str">
        <x:v>W01-04</x:v>
      </x:c>
      <x:c r="E5" s="41" t="str">
        <x:v>Thu thập đủ 11 nhóm nguồn static/semi-static: HydroBASINS, BasinATLAS, HydroRIVERS, địa giới, evidence lịch sử, SoilGrids, Copernicus DEM, ESA WorldCover, WorldPop và OSM.</x:v>
      </x:c>
      <x:c r="F5" s="41" t="str">
        <x:v>Done</x:v>
      </x:c>
      <x:c r="G5" s="41" t="str"/>
      <x:c r="H5" s="41" t="str"/>
      <x:c r="I5" s="41" t="str"/>
    </x:row>
    <x:row r="6" ht="36" customHeight="1">
      <x:c r="A6" s="41" t="n">
        <x:v>1</x:v>
      </x:c>
      <x:c r="B6" s="41" t="str">
        <x:v>Đề cương và dữ liệu tĩnh</x:v>
      </x:c>
      <x:c r="C6" s="41" t="str">
        <x:v>Giai đoạn 1 — đã hoàn thành trước 30/08/2026</x:v>
      </x:c>
      <x:c r="D6" s="41" t="str">
        <x:v>W01-05</x:v>
      </x:c>
      <x:c r="E6" s="41" t="str">
        <x:v>Giữ nguyên raw assets và tách dữ liệu harmonized/derived khỏi raw.</x:v>
      </x:c>
      <x:c r="F6" s="41" t="str">
        <x:v>Done</x:v>
      </x:c>
      <x:c r="G6" s="41" t="str"/>
      <x:c r="H6" s="41" t="str"/>
      <x:c r="I6" s="41" t="str"/>
    </x:row>
    <x:row r="7" ht="36" customHeight="1">
      <x:c r="A7" s="41" t="n">
        <x:v>1</x:v>
      </x:c>
      <x:c r="B7" s="41" t="str">
        <x:v>Đề cương và dữ liệu tĩnh</x:v>
      </x:c>
      <x:c r="C7" s="41" t="str">
        <x:v>Giai đoạn 1 — đã hoàn thành trước 30/08/2026</x:v>
      </x:c>
      <x:c r="D7" s="41" t="str">
        <x:v>W01-06</x:v>
      </x:c>
      <x:c r="E7" s="41" t="str">
        <x:v>Dựng AOI gồm 168 sub-basin L10 liên quan Sơn La và topology thượng/hạ lưu.</x:v>
      </x:c>
      <x:c r="F7" s="41" t="str">
        <x:v>Done</x:v>
      </x:c>
      <x:c r="G7" s="41" t="str"/>
      <x:c r="H7" s="41" t="str"/>
      <x:c r="I7" s="41" t="str"/>
    </x:row>
    <x:row r="8" ht="36" customHeight="1">
      <x:c r="A8" s="41" t="n">
        <x:v>1</x:v>
      </x:c>
      <x:c r="B8" s="41" t="str">
        <x:v>Đề cương và dữ liệu tĩnh</x:v>
      </x:c>
      <x:c r="C8" s="41" t="str">
        <x:v>Giai đoạn 1 — đã hoàn thành trước 30/08/2026</x:v>
      </x:c>
      <x:c r="D8" s="41" t="str">
        <x:v>W01-07</x:v>
      </x:c>
      <x:c r="E8" s="41" t="str">
        <x:v>Chuẩn hóa địa giới hiện hành sau cải cách 2025 và tạo bảng đối chiếu xã cũ–xã mới để replay sự kiện 2020–2026.</x:v>
      </x:c>
      <x:c r="F8" s="41" t="str">
        <x:v>Done</x:v>
      </x:c>
      <x:c r="G8" s="41" t="str"/>
      <x:c r="H8" s="41" t="str"/>
      <x:c r="I8" s="41" t="str"/>
    </x:row>
    <x:row r="9" ht="36" customHeight="1">
      <x:c r="A9" s="41" t="n">
        <x:v>1</x:v>
      </x:c>
      <x:c r="B9" s="41" t="str">
        <x:v>Đề cương và dữ liệu tĩnh</x:v>
      </x:c>
      <x:c r="C9" s="41" t="str">
        <x:v>Giai đoạn 1 — đã hoàn thành trước 30/08/2026</x:v>
      </x:c>
      <x:c r="D9" s="41" t="str">
        <x:v>W01-08</x:v>
      </x:c>
      <x:c r="E9" s="41" t="str">
        <x:v>Tạo static basin features tối giản từ địa hình, thổ nhưỡng, land cover, thủy văn và population; không đưa toàn bộ thuộc tính BasinATLAS vào serving table.</x:v>
      </x:c>
      <x:c r="F9" s="41" t="str">
        <x:v>Done</x:v>
      </x:c>
      <x:c r="G9" s="41" t="str"/>
      <x:c r="H9" s="41" t="str"/>
      <x:c r="I9" s="41" t="str"/>
    </x:row>
    <x:row r="10" ht="36" customHeight="1">
      <x:c r="A10" s="41" t="n">
        <x:v>1</x:v>
      </x:c>
      <x:c r="B10" s="41" t="str">
        <x:v>Đề cương và dữ liệu tĩnh</x:v>
      </x:c>
      <x:c r="C10" s="41" t="str">
        <x:v>Giai đoạn 1 — đã hoàn thành trước 30/08/2026</x:v>
      </x:c>
      <x:c r="D10" s="41" t="str">
        <x:v>W01-09</x:v>
      </x:c>
      <x:c r="E10" s="41" t="str">
        <x:v>Map many-to-many giữa sub-basin–xã và map đường/cầu/facility với sub-basin.</x:v>
      </x:c>
      <x:c r="F10" s="41" t="str">
        <x:v>Done</x:v>
      </x:c>
      <x:c r="G10" s="41" t="str"/>
      <x:c r="H10" s="41" t="str"/>
      <x:c r="I10" s="41" t="str"/>
    </x:row>
    <x:row r="11" ht="36" customHeight="1">
      <x:c r="A11" s="41" t="n">
        <x:v>1</x:v>
      </x:c>
      <x:c r="B11" s="41" t="str">
        <x:v>Đề cương và dữ liệu tĩnh</x:v>
      </x:c>
      <x:c r="C11" s="41" t="str">
        <x:v>Giai đoạn 1 — đã hoàn thành trước 30/08/2026</x:v>
      </x:c>
      <x:c r="D11" s="41" t="str">
        <x:v>W01-10</x:v>
      </x:c>
      <x:c r="E11" s="41" t="str">
        <x:v>Chạy QA, bản đồ kiểm tra và xác minh workflow static có thể chạy lại/idempotent.</x:v>
      </x:c>
      <x:c r="F11" s="41" t="str">
        <x:v>Done</x:v>
      </x:c>
      <x:c r="G11" s="41" t="str"/>
      <x:c r="H11" s="41" t="str"/>
      <x:c r="I11" s="41" t="str"/>
    </x:row>
    <x:row r="12" ht="36" customHeight="1">
      <x:c r="A12" s="41" t="n">
        <x:v>2</x:v>
      </x:c>
      <x:c r="B12" s="41" t="str">
        <x:v>Kiến trúc tổng thể và nền tảng Lakehouse</x:v>
      </x:c>
      <x:c r="C12" s="41" t="str">
        <x:v>Giai đoạn 2 — đã hoàn thành phần nền tảng trong tuần 31/08–06/09/2026</x:v>
      </x:c>
      <x:c r="D12" s="41" t="str">
        <x:v>W02-01</x:v>
      </x:c>
      <x:c r="E12" s="41" t="str">
        <x:v>Xây dựng kiến trúc tổng thể theo luồng source ingestion → event/change processing → Iceberg Lakehouse → threat → direct impact → Knowledge Graph → routing/API/dashboard.</x:v>
      </x:c>
      <x:c r="F12" s="41" t="str">
        <x:v>Done</x:v>
      </x:c>
      <x:c r="G12" s="41" t="str"/>
      <x:c r="H12" s="41" t="str"/>
      <x:c r="I12" s="41" t="str"/>
    </x:row>
    <x:row r="13" ht="36" customHeight="1">
      <x:c r="A13" s="41" t="n">
        <x:v>2</x:v>
      </x:c>
      <x:c r="B13" s="41" t="str">
        <x:v>Kiến trúc tổng thể và nền tảng Lakehouse</x:v>
      </x:c>
      <x:c r="C13" s="41" t="str">
        <x:v>Giai đoạn 2 — đã hoàn thành phần nền tảng trong tuần 31/08–06/09/2026</x:v>
      </x:c>
      <x:c r="D13" s="41" t="str">
        <x:v>W02-02</x:v>
      </x:c>
      <x:c r="E13" s="41" t="str">
        <x:v>Phân định Lakehouse là system of record; PostGIS và Neo4j là processing/serving stores, không thay thế dữ liệu nguồn.</x:v>
      </x:c>
      <x:c r="F13" s="41" t="str">
        <x:v>Done</x:v>
      </x:c>
      <x:c r="G13" s="41" t="str"/>
      <x:c r="H13" s="41" t="str"/>
      <x:c r="I13" s="41" t="str"/>
    </x:row>
    <x:row r="14" ht="36" customHeight="1">
      <x:c r="A14" s="41" t="n">
        <x:v>2</x:v>
      </x:c>
      <x:c r="B14" s="41" t="str">
        <x:v>Kiến trúc tổng thể và nền tảng Lakehouse</x:v>
      </x:c>
      <x:c r="C14" s="41" t="str">
        <x:v>Giai đoạn 2 — đã hoàn thành phần nền tảng trong tuần 31/08–06/09/2026</x:v>
      </x:c>
      <x:c r="D14" s="41" t="str">
        <x:v>W02-03</x:v>
      </x:c>
      <x:c r="E14" s="41" t="str">
        <x:v>Xác định các data domain logic: canonical geospatial, dynamic state/change event, risk/impact và graph/serving.</x:v>
      </x:c>
      <x:c r="F14" s="41" t="str">
        <x:v>Done</x:v>
      </x:c>
      <x:c r="G14" s="41" t="str"/>
      <x:c r="H14" s="41" t="str"/>
      <x:c r="I14" s="41" t="str"/>
    </x:row>
    <x:row r="15" ht="36" customHeight="1">
      <x:c r="A15" s="41" t="n">
        <x:v>2</x:v>
      </x:c>
      <x:c r="B15" s="41" t="str">
        <x:v>Kiến trúc tổng thể và nền tảng Lakehouse</x:v>
      </x:c>
      <x:c r="C15" s="41" t="str">
        <x:v>Giai đoạn 2 — đã hoàn thành phần nền tảng trong tuần 31/08–06/09/2026</x:v>
      </x:c>
      <x:c r="D15" s="41" t="str">
        <x:v>W02-04</x:v>
      </x:c>
      <x:c r="E15" s="41" t="str">
        <x:v>Dựng Docker Compose thật cho PostgreSQL, MinIO, Apache Polaris và Airflow 3.</x:v>
      </x:c>
      <x:c r="F15" s="41" t="str">
        <x:v>Done</x:v>
      </x:c>
      <x:c r="G15" s="41" t="str"/>
      <x:c r="H15" s="41" t="str"/>
      <x:c r="I15" s="41" t="str"/>
    </x:row>
    <x:row r="16" ht="36" customHeight="1">
      <x:c r="A16" s="41" t="n">
        <x:v>2</x:v>
      </x:c>
      <x:c r="B16" s="41" t="str">
        <x:v>Kiến trúc tổng thể và nền tảng Lakehouse</x:v>
      </x:c>
      <x:c r="C16" s="41" t="str">
        <x:v>Giai đoạn 2 — đã hoàn thành phần nền tảng trong tuần 31/08–06/09/2026</x:v>
      </x:c>
      <x:c r="D16" s="41" t="str">
        <x:v>W02-05</x:v>
      </x:c>
      <x:c r="E16" s="41" t="str">
        <x:v>Tạo persistent storage riêng dưới dataset/lakehouse/ và secrets local trong .env.</x:v>
      </x:c>
      <x:c r="F16" s="41" t="str">
        <x:v>Done</x:v>
      </x:c>
      <x:c r="G16" s="41" t="str"/>
      <x:c r="H16" s="41" t="str"/>
      <x:c r="I16" s="41" t="str"/>
    </x:row>
    <x:row r="17" ht="36" customHeight="1">
      <x:c r="A17" s="41" t="n">
        <x:v>2</x:v>
      </x:c>
      <x:c r="B17" s="41" t="str">
        <x:v>Kiến trúc tổng thể và nền tảng Lakehouse</x:v>
      </x:c>
      <x:c r="C17" s="41" t="str">
        <x:v>Giai đoạn 2 — đã hoàn thành phần nền tảng trong tuần 31/08–06/09/2026</x:v>
      </x:c>
      <x:c r="D17" s="41" t="str">
        <x:v>W02-06</x:v>
      </x:c>
      <x:c r="E17" s="41" t="str">
        <x:v>Cài runtime Python cho raster/forecast/Iceberg: Xarray, cfgrib, ecCodes và PyIceberg.</x:v>
      </x:c>
      <x:c r="F17" s="41" t="str">
        <x:v>Done</x:v>
      </x:c>
      <x:c r="G17" s="41" t="str"/>
      <x:c r="H17" s="41" t="str"/>
      <x:c r="I17" s="41" t="str"/>
    </x:row>
    <x:row r="18" ht="36" customHeight="1">
      <x:c r="A18" s="41" t="n">
        <x:v>2</x:v>
      </x:c>
      <x:c r="B18" s="41" t="str">
        <x:v>Kiến trúc tổng thể và nền tảng Lakehouse</x:v>
      </x:c>
      <x:c r="C18" s="41" t="str">
        <x:v>Giai đoạn 2 — đã hoàn thành phần nền tảng trong tuần 31/08–06/09/2026</x:v>
      </x:c>
      <x:c r="D18" s="41" t="str">
        <x:v>W02-07</x:v>
      </x:c>
      <x:c r="E18" s="41" t="str">
        <x:v>Dựng image Spark 4.1.3 + Iceberg 1.11.0, một master và một worker tùy chọn.</x:v>
      </x:c>
      <x:c r="F18" s="41" t="str">
        <x:v>Done</x:v>
      </x:c>
      <x:c r="G18" s="41" t="str"/>
      <x:c r="H18" s="41" t="str"/>
      <x:c r="I18" s="41" t="str"/>
    </x:row>
    <x:row r="19" ht="36" customHeight="1">
      <x:c r="A19" s="41" t="n">
        <x:v>2</x:v>
      </x:c>
      <x:c r="B19" s="41" t="str">
        <x:v>Kiến trúc tổng thể và nền tảng Lakehouse</x:v>
      </x:c>
      <x:c r="C19" s="41" t="str">
        <x:v>Giai đoạn 2 — đã hoàn thành phần nền tảng trong tuần 31/08–06/09/2026</x:v>
      </x:c>
      <x:c r="D19" s="41" t="str">
        <x:v>W02-08</x:v>
      </x:c>
      <x:c r="E19" s="41" t="str">
        <x:v>Xác minh Spark ghi–đọc–xóa bảng tạm qua Polaris REST Catalog và MinIO hai lần.</x:v>
      </x:c>
      <x:c r="F19" s="41" t="str">
        <x:v>Done</x:v>
      </x:c>
      <x:c r="G19" s="41" t="str"/>
      <x:c r="H19" s="41" t="str"/>
      <x:c r="I19" s="41" t="str"/>
    </x:row>
    <x:row r="20" ht="36" customHeight="1">
      <x:c r="A20" s="41" t="n">
        <x:v>2</x:v>
      </x:c>
      <x:c r="B20" s="41" t="str">
        <x:v>Kiến trúc tổng thể và nền tảng Lakehouse</x:v>
      </x:c>
      <x:c r="C20" s="41" t="str">
        <x:v>Giai đoạn 2 — đã hoàn thành phần nền tảng trong tuần 31/08–06/09/2026</x:v>
      </x:c>
      <x:c r="D20" s="41" t="str">
        <x:v>W02-09</x:v>
      </x:c>
      <x:c r="E20" s="41" t="str">
        <x:v>Viết các lệnh build/up/status/smoke/down và tài liệu vận hành môi trường.</x:v>
      </x:c>
      <x:c r="F20" s="41" t="str">
        <x:v>Done</x:v>
      </x:c>
      <x:c r="G20" s="41" t="str"/>
      <x:c r="H20" s="41" t="str"/>
      <x:c r="I20" s="41" t="str"/>
    </x:row>
    <x:row r="21" ht="36" customHeight="1">
      <x:c r="A21" s="41" t="n">
        <x:v>2</x:v>
      </x:c>
      <x:c r="B21" s="41" t="str">
        <x:v>Kiến trúc tổng thể và nền tảng Lakehouse</x:v>
      </x:c>
      <x:c r="C21" s="41" t="str">
        <x:v>Giai đoạn 2 — đã hoàn thành phần nền tảng trong tuần 31/08–06/09/2026</x:v>
      </x:c>
      <x:c r="D21" s="41" t="str">
        <x:v>W02-10</x:v>
      </x:c>
      <x:c r="E21" s="41" t="str">
        <x:v>chốt canonical schema và physical Iceberg schema cho dữ liệu dynamic, forecast, provenance và change event.</x:v>
      </x:c>
      <x:c r="F21" s="41" t="str">
        <x:v>In Progress</x:v>
      </x:c>
      <x:c r="G21" s="41" t="str"/>
      <x:c r="H21" s="41" t="str"/>
      <x:c r="I21" s="41" t="str"/>
    </x:row>
    <x:row r="22" ht="36" customHeight="1">
      <x:c r="A22" s="41" t="n">
        <x:v>3</x:v>
      </x:c>
      <x:c r="B22" s="41" t="str">
        <x:v>Canonical schema và ingest dữ liệu động</x:v>
      </x:c>
      <x:c r="C22" s="41" t="str">
        <x:v>Giai đoạn 2</x:v>
      </x:c>
      <x:c r="D22" s="41" t="str">
        <x:v>W03-01</x:v>
      </x:c>
      <x:c r="E22" s="41" t="str">
        <x:v>Chốt data contract dùng chung: source_time, issued_at, valid_time, ingested_at, forecast_run_id, revision, superseded_at, checksum và pipeline run.</x:v>
      </x:c>
      <x:c r="F22" s="41" t="str">
        <x:v>Not Started</x:v>
      </x:c>
      <x:c r="G22" s="41" t="str"/>
      <x:c r="H22" s="41" t="str"/>
      <x:c r="I22" s="41" t="str"/>
    </x:row>
    <x:row r="23" ht="36" customHeight="1">
      <x:c r="A23" s="41" t="n">
        <x:v>3</x:v>
      </x:c>
      <x:c r="B23" s="41" t="str">
        <x:v>Canonical schema và ingest dữ liệu động</x:v>
      </x:c>
      <x:c r="C23" s="41" t="str">
        <x:v>Giai đoạn 2</x:v>
      </x:c>
      <x:c r="D23" s="41" t="str">
        <x:v>W03-02</x:v>
      </x:c>
      <x:c r="E23" s="41" t="str">
        <x:v>Thiết kế physical Iceberg schema và partition strategy cho rainfall observation, forecast run/value, soil-moisture observation, basin state và change event.</x:v>
      </x:c>
      <x:c r="F23" s="41" t="str">
        <x:v>Not Started</x:v>
      </x:c>
      <x:c r="G23" s="41" t="str"/>
      <x:c r="H23" s="41" t="str"/>
      <x:c r="I23" s="41" t="str"/>
    </x:row>
    <x:row r="24" ht="36" customHeight="1">
      <x:c r="A24" s="41" t="n">
        <x:v>3</x:v>
      </x:c>
      <x:c r="B24" s="41" t="str">
        <x:v>Canonical schema và ingest dữ liệu động</x:v>
      </x:c>
      <x:c r="C24" s="41" t="str">
        <x:v>Giai đoạn 2</x:v>
      </x:c>
      <x:c r="D24" s="41" t="str">
        <x:v>W03-03</x:v>
      </x:c>
      <x:c r="E24" s="41" t="str">
        <x:v>Định nghĩa khóa tự nhiên, quy tắc upsert/dedup và schema evolution cho từng nguồn.</x:v>
      </x:c>
      <x:c r="F24" s="41" t="str">
        <x:v>Not Started</x:v>
      </x:c>
      <x:c r="G24" s="41" t="str"/>
      <x:c r="H24" s="41" t="str"/>
      <x:c r="I24" s="41" t="str"/>
    </x:row>
    <x:row r="25" ht="36" customHeight="1">
      <x:c r="A25" s="41" t="n">
        <x:v>3</x:v>
      </x:c>
      <x:c r="B25" s="41" t="str">
        <x:v>Canonical schema và ingest dữ liệu động</x:v>
      </x:c>
      <x:c r="C25" s="41" t="str">
        <x:v>Giai đoạn 2</x:v>
      </x:c>
      <x:c r="D25" s="41" t="str">
        <x:v>W03-04</x:v>
      </x:c>
      <x:c r="E25" s="41" t="str">
        <x:v>Dựng Docker Compose profile tùy chọn cho Kafka và Flink; smoke test được luồng publish–consume mà không buộc bật khi chỉ chạy batch.</x:v>
      </x:c>
      <x:c r="F25" s="41" t="str">
        <x:v>Not Started</x:v>
      </x:c>
      <x:c r="G25" s="41" t="str"/>
      <x:c r="H25" s="41" t="str"/>
      <x:c r="I25" s="41" t="str"/>
    </x:row>
    <x:row r="26" ht="36" customHeight="1">
      <x:c r="A26" s="41" t="n">
        <x:v>3</x:v>
      </x:c>
      <x:c r="B26" s="41" t="str">
        <x:v>Canonical schema và ingest dữ liệu động</x:v>
      </x:c>
      <x:c r="C26" s="41" t="str">
        <x:v>Giai đoạn 2</x:v>
      </x:c>
      <x:c r="D26" s="41" t="str">
        <x:v>W03-05</x:v>
      </x:c>
      <x:c r="E26" s="41" t="str">
        <x:v>Cài Great Expectations và tạo data-quality suite đầu tiên cho schema/timestamp/range.</x:v>
      </x:c>
      <x:c r="F26" s="41" t="str">
        <x:v>Not Started</x:v>
      </x:c>
      <x:c r="G26" s="41" t="str"/>
      <x:c r="H26" s="41" t="str"/>
      <x:c r="I26" s="41" t="str"/>
    </x:row>
    <x:row r="27" ht="36" customHeight="1">
      <x:c r="A27" s="41" t="n">
        <x:v>3</x:v>
      </x:c>
      <x:c r="B27" s="41" t="str">
        <x:v>Canonical schema và ingest dữ liệu động</x:v>
      </x:c>
      <x:c r="C27" s="41" t="str">
        <x:v>Giai đoạn 2</x:v>
      </x:c>
      <x:c r="D27" s="41" t="str">
        <x:v>W03-06</x:v>
      </x:c>
      <x:c r="E27" s="41" t="str">
        <x:v>Xây ingest GSMaP theo cửa sổ tối đa một giờ, giữ source file raw và metadata tải.</x:v>
      </x:c>
      <x:c r="F27" s="41" t="str">
        <x:v>Not Started</x:v>
      </x:c>
      <x:c r="G27" s="41" t="str"/>
      <x:c r="H27" s="41" t="str"/>
      <x:c r="I27" s="41" t="str"/>
    </x:row>
    <x:row r="28" ht="36" customHeight="1">
      <x:c r="A28" s="41" t="n">
        <x:v>3</x:v>
      </x:c>
      <x:c r="B28" s="41" t="str">
        <x:v>Canonical schema và ingest dữ liệu động</x:v>
      </x:c>
      <x:c r="C28" s="41" t="str">
        <x:v>Giai đoạn 2</x:v>
      </x:c>
      <x:c r="D28" s="41" t="str">
        <x:v>W03-07</x:v>
      </x:c>
      <x:c r="E28" s="41" t="str">
        <x:v>Xây ingest Open-Meteo current forecast theo model cố định; phân biệt model run, issued time và valid time.</x:v>
      </x:c>
      <x:c r="F28" s="41" t="str">
        <x:v>Not Started</x:v>
      </x:c>
      <x:c r="G28" s="41" t="str"/>
      <x:c r="H28" s="41" t="str"/>
      <x:c r="I28" s="41" t="str"/>
    </x:row>
    <x:row r="29" ht="36" customHeight="1">
      <x:c r="A29" s="41" t="n">
        <x:v>3</x:v>
      </x:c>
      <x:c r="B29" s="41" t="str">
        <x:v>Canonical schema và ingest dữ liệu động</x:v>
      </x:c>
      <x:c r="C29" s="41" t="str">
        <x:v>Giai đoạn 2</x:v>
      </x:c>
      <x:c r="D29" s="41" t="str">
        <x:v>W03-08</x:v>
      </x:c>
      <x:c r="E29" s="41" t="str">
        <x:v>Xây ingest ERA5-Land soil moisture/reanalysis phục vụ current state và lịch sử.</x:v>
      </x:c>
      <x:c r="F29" s="41" t="str">
        <x:v>Not Started</x:v>
      </x:c>
      <x:c r="G29" s="41" t="str"/>
      <x:c r="H29" s="41" t="str"/>
      <x:c r="I29" s="41" t="str"/>
    </x:row>
    <x:row r="30" ht="36" customHeight="1">
      <x:c r="A30" s="41" t="n">
        <x:v>3</x:v>
      </x:c>
      <x:c r="B30" s="41" t="str">
        <x:v>Canonical schema và ingest dữ liệu động</x:v>
      </x:c>
      <x:c r="C30" s="41" t="str">
        <x:v>Giai đoạn 2</x:v>
      </x:c>
      <x:c r="D30" s="41" t="str">
        <x:v>W03-09</x:v>
      </x:c>
      <x:c r="E30" s="41" t="str">
        <x:v>Thêm validation cho schema, timestamp, missing/null, duplicate, range và data age.</x:v>
      </x:c>
      <x:c r="F30" s="41" t="str">
        <x:v>Not Started</x:v>
      </x:c>
      <x:c r="G30" s="41" t="str"/>
      <x:c r="H30" s="41" t="str"/>
      <x:c r="I30" s="41" t="str"/>
    </x:row>
    <x:row r="31" ht="36" customHeight="1">
      <x:c r="A31" s="41" t="n">
        <x:v>3</x:v>
      </x:c>
      <x:c r="B31" s="41" t="str">
        <x:v>Canonical schema và ingest dữ liệu động</x:v>
      </x:c>
      <x:c r="C31" s="41" t="str">
        <x:v>Giai đoạn 2</x:v>
      </x:c>
      <x:c r="D31" s="41" t="str">
        <x:v>W03-10</x:v>
      </x:c>
      <x:c r="E31" s="41" t="str">
        <x:v>Ghi manifest/lineage từ raw asset tới Iceberg snapshot và basin partitions liên quan.</x:v>
      </x:c>
      <x:c r="F31" s="41" t="str">
        <x:v>Not Started</x:v>
      </x:c>
      <x:c r="G31" s="41" t="str"/>
      <x:c r="H31" s="41" t="str"/>
      <x:c r="I31" s="41" t="str"/>
    </x:row>
    <x:row r="32" ht="36" customHeight="1">
      <x:c r="A32" s="41" t="n">
        <x:v>4</x:v>
      </x:c>
      <x:c r="B32" s="41" t="str">
        <x:v>Versioning, correction và trạng thái lưu vực</x:v>
      </x:c>
      <x:c r="C32" s="41" t="str">
        <x:v>Giai đoạn 2</x:v>
      </x:c>
      <x:c r="D32" s="41" t="str">
        <x:v>W04-01</x:v>
      </x:c>
      <x:c r="E32" s="41" t="str">
        <x:v>Hoàn thiện hourly polling/orchestration bằng Airflow; mỗi task có retry và timeout rõ ràng, không tải trùng asset đã có checksum.</x:v>
      </x:c>
      <x:c r="F32" s="41" t="str">
        <x:v>Not Started</x:v>
      </x:c>
      <x:c r="G32" s="41" t="str"/>
      <x:c r="H32" s="41" t="str"/>
      <x:c r="I32" s="41" t="str"/>
    </x:row>
    <x:row r="33" ht="36" customHeight="1">
      <x:c r="A33" s="41" t="n">
        <x:v>4</x:v>
      </x:c>
      <x:c r="B33" s="41" t="str">
        <x:v>Versioning, correction và trạng thái lưu vực</x:v>
      </x:c>
      <x:c r="C33" s="41" t="str">
        <x:v>Giai đoạn 2</x:v>
      </x:c>
      <x:c r="D33" s="41" t="str">
        <x:v>W04-02</x:v>
      </x:c>
      <x:c r="E33" s="41" t="str">
        <x:v>Tích hợp source event Airflow → Kafka → Flink và ghi kết quả hợp lệ vào Iceberg.</x:v>
      </x:c>
      <x:c r="F33" s="41" t="str">
        <x:v>Not Started</x:v>
      </x:c>
      <x:c r="G33" s="41" t="str"/>
      <x:c r="H33" s="41" t="str"/>
      <x:c r="I33" s="41" t="str"/>
    </x:row>
    <x:row r="34" ht="36" customHeight="1">
      <x:c r="A34" s="41" t="n">
        <x:v>4</x:v>
      </x:c>
      <x:c r="B34" s="41" t="str">
        <x:v>Versioning, correction và trạng thái lưu vực</x:v>
      </x:c>
      <x:c r="C34" s="41" t="str">
        <x:v>Giai đoạn 2</x:v>
      </x:c>
      <x:c r="D34" s="41" t="str">
        <x:v>W04-03</x:v>
      </x:c>
      <x:c r="E34" s="41" t="str">
        <x:v>Xử lý late-arriving và out-of-order observations theo event/valid time.</x:v>
      </x:c>
      <x:c r="F34" s="41" t="str">
        <x:v>Not Started</x:v>
      </x:c>
      <x:c r="G34" s="41" t="str"/>
      <x:c r="H34" s="41" t="str"/>
      <x:c r="I34" s="41" t="str"/>
    </x:row>
    <x:row r="35" ht="36" customHeight="1">
      <x:c r="A35" s="41" t="n">
        <x:v>4</x:v>
      </x:c>
      <x:c r="B35" s="41" t="str">
        <x:v>Versioning, correction và trạng thái lưu vực</x:v>
      </x:c>
      <x:c r="C35" s="41" t="str">
        <x:v>Giai đoạn 2</x:v>
      </x:c>
      <x:c r="D35" s="41" t="str">
        <x:v>W04-04</x:v>
      </x:c>
      <x:c r="E35" s="41" t="str">
        <x:v>Xử lý forecast revision và quan hệ supersedes mà không ghi đè lịch sử.</x:v>
      </x:c>
      <x:c r="F35" s="41" t="str">
        <x:v>Not Started</x:v>
      </x:c>
      <x:c r="G35" s="41" t="str"/>
      <x:c r="H35" s="41" t="str"/>
      <x:c r="I35" s="41" t="str"/>
    </x:row>
    <x:row r="36" ht="36" customHeight="1">
      <x:c r="A36" s="41" t="n">
        <x:v>4</x:v>
      </x:c>
      <x:c r="B36" s="41" t="str">
        <x:v>Versioning, correction và trạng thái lưu vực</x:v>
      </x:c>
      <x:c r="C36" s="41" t="str">
        <x:v>Giai đoạn 2</x:v>
      </x:c>
      <x:c r="D36" s="41" t="str">
        <x:v>W04-05</x:v>
      </x:c>
      <x:c r="E36" s="41" t="str">
        <x:v>Thiết kế fallback/source outage policy và cờ stale theo data age.</x:v>
      </x:c>
      <x:c r="F36" s="41" t="str">
        <x:v>Not Started</x:v>
      </x:c>
      <x:c r="G36" s="41" t="str"/>
      <x:c r="H36" s="41" t="str"/>
      <x:c r="I36" s="41" t="str"/>
    </x:row>
    <x:row r="37" ht="36" customHeight="1">
      <x:c r="A37" s="41" t="n">
        <x:v>4</x:v>
      </x:c>
      <x:c r="B37" s="41" t="str">
        <x:v>Versioning, correction và trạng thái lưu vực</x:v>
      </x:c>
      <x:c r="C37" s="41" t="str">
        <x:v>Giai đoạn 2</x:v>
      </x:c>
      <x:c r="D37" s="41" t="str">
        <x:v>W04-06</x:v>
      </x:c>
      <x:c r="E37" s="41" t="str">
        <x:v>Aggregate rainfall 1h/3h/6h/24h/72h và forecast 1h/3h/6h về sub-basin L10.</x:v>
      </x:c>
      <x:c r="F37" s="41" t="str">
        <x:v>Not Started</x:v>
      </x:c>
      <x:c r="G37" s="41" t="str"/>
      <x:c r="H37" s="41" t="str"/>
      <x:c r="I37" s="41" t="str"/>
    </x:row>
    <x:row r="38" ht="36" customHeight="1">
      <x:c r="A38" s="41" t="n">
        <x:v>4</x:v>
      </x:c>
      <x:c r="B38" s="41" t="str">
        <x:v>Versioning, correction và trạng thái lưu vực</x:v>
      </x:c>
      <x:c r="C38" s="41" t="str">
        <x:v>Giai đoạn 2</x:v>
      </x:c>
      <x:c r="D38" s="41" t="str">
        <x:v>W04-07</x:v>
      </x:c>
      <x:c r="E38" s="41" t="str">
        <x:v>Tính soil-moisture percentile/antecedent wetness baseline, ghi rõ nguồn climatology.</x:v>
      </x:c>
      <x:c r="F38" s="41" t="str">
        <x:v>Not Started</x:v>
      </x:c>
      <x:c r="G38" s="41" t="str"/>
      <x:c r="H38" s="41" t="str"/>
      <x:c r="I38" s="41" t="str"/>
    </x:row>
    <x:row r="39" ht="36" customHeight="1">
      <x:c r="A39" s="41" t="n">
        <x:v>4</x:v>
      </x:c>
      <x:c r="B39" s="41" t="str">
        <x:v>Versioning, correction và trạng thái lưu vực</x:v>
      </x:c>
      <x:c r="C39" s="41" t="str">
        <x:v>Giai đoạn 2</x:v>
      </x:c>
      <x:c r="D39" s="41" t="str">
        <x:v>W04-08</x:v>
      </x:c>
      <x:c r="E39" s="41" t="str">
        <x:v>Xây subbasin_dynamic_state và change detection trả về danh sách basin bị ảnh hưởng.</x:v>
      </x:c>
      <x:c r="F39" s="41" t="str">
        <x:v>Not Started</x:v>
      </x:c>
      <x:c r="G39" s="41" t="str"/>
      <x:c r="H39" s="41" t="str"/>
      <x:c r="I39" s="41" t="str"/>
    </x:row>
    <x:row r="40" ht="36" customHeight="1">
      <x:c r="A40" s="41" t="n">
        <x:v>4</x:v>
      </x:c>
      <x:c r="B40" s="41" t="str">
        <x:v>Versioning, correction và trạng thái lưu vực</x:v>
      </x:c>
      <x:c r="C40" s="41" t="str">
        <x:v>Giai đoạn 2</x:v>
      </x:c>
      <x:c r="D40" s="41" t="str">
        <x:v>W04-09</x:v>
      </x:c>
      <x:c r="E40" s="41" t="str">
        <x:v>Chạy replay kỹ thuật trên một cửa sổ dữ liệu nhỏ để kiểm tra idempotence và time travel.</x:v>
      </x:c>
      <x:c r="F40" s="41" t="str">
        <x:v>Not Started</x:v>
      </x:c>
      <x:c r="G40" s="41" t="str"/>
      <x:c r="H40" s="41" t="str"/>
      <x:c r="I40" s="41" t="str"/>
    </x:row>
    <x:row r="41" ht="36" customHeight="1">
      <x:c r="A41" s="41" t="n">
        <x:v>5</x:v>
      </x:c>
      <x:c r="B41" s="41" t="str">
        <x:v>Threat engine có cơ sở vật lý</x:v>
      </x:c>
      <x:c r="C41" s="41" t="str">
        <x:v>Giai đoạn 3</x:v>
      </x:c>
      <x:c r="D41" s="41" t="str">
        <x:v>W05-01</x:v>
      </x:c>
      <x:c r="E41" s="41" t="str">
        <x:v>Rà soát tài liệu/chỉ dẫn chuyên ngành cho Antecedent Wetness, Rainfall Forcing, Basin Susceptibility và Upstream Forcing; lưu citation và giả định.</x:v>
      </x:c>
      <x:c r="F41" s="41" t="str">
        <x:v>Not Started</x:v>
      </x:c>
      <x:c r="G41" s="41" t="str"/>
      <x:c r="H41" s="41" t="str"/>
      <x:c r="I41" s="41" t="str"/>
    </x:row>
    <x:row r="42" ht="36" customHeight="1">
      <x:c r="A42" s="41" t="n">
        <x:v>5</x:v>
      </x:c>
      <x:c r="B42" s="41" t="str">
        <x:v>Threat engine có cơ sở vật lý</x:v>
      </x:c>
      <x:c r="C42" s="41" t="str">
        <x:v>Giai đoạn 3</x:v>
      </x:c>
      <x:c r="D42" s="41" t="str">
        <x:v>W05-02</x:v>
      </x:c>
      <x:c r="E42" s="41" t="str">
        <x:v>Chốt schema subbasin_risk_state, version của rule set và provenance đầu vào.</x:v>
      </x:c>
      <x:c r="F42" s="41" t="str">
        <x:v>Not Started</x:v>
      </x:c>
      <x:c r="G42" s="41" t="str"/>
      <x:c r="H42" s="41" t="str"/>
      <x:c r="I42" s="41" t="str"/>
    </x:row>
    <x:row r="43" ht="36" customHeight="1">
      <x:c r="A43" s="41" t="n">
        <x:v>5</x:v>
      </x:c>
      <x:c r="B43" s="41" t="str">
        <x:v>Threat engine có cơ sở vật lý</x:v>
      </x:c>
      <x:c r="C43" s="41" t="str">
        <x:v>Giai đoạn 3</x:v>
      </x:c>
      <x:c r="D43" s="41" t="str">
        <x:v>W05-03</x:v>
      </x:c>
      <x:c r="E43" s="41" t="str">
        <x:v>Chuẩn hóa các feature AW, RF, BS, UF theo percentile/ranking phù hợp từng basin.</x:v>
      </x:c>
      <x:c r="F43" s="41" t="str">
        <x:v>Not Started</x:v>
      </x:c>
      <x:c r="G43" s="41" t="str"/>
      <x:c r="H43" s="41" t="str"/>
      <x:c r="I43" s="41" t="str"/>
    </x:row>
    <x:row r="44" ht="36" customHeight="1">
      <x:c r="A44" s="41" t="n">
        <x:v>5</x:v>
      </x:c>
      <x:c r="B44" s="41" t="str">
        <x:v>Threat engine có cơ sở vật lý</x:v>
      </x:c>
      <x:c r="C44" s="41" t="str">
        <x:v>Giai đoạn 3</x:v>
      </x:c>
      <x:c r="D44" s="41" t="str">
        <x:v>W05-04</x:v>
      </x:c>
      <x:c r="E44" s="41" t="str">
        <x:v>Cài threat-score pipeline và các mức LOW/MODERATE/HIGH/VERY HIGH.</x:v>
      </x:c>
      <x:c r="F44" s="41" t="str">
        <x:v>Not Started</x:v>
      </x:c>
      <x:c r="G44" s="41" t="str"/>
      <x:c r="H44" s="41" t="str"/>
      <x:c r="I44" s="41" t="str"/>
    </x:row>
    <x:row r="45" ht="36" customHeight="1">
      <x:c r="A45" s="41" t="n">
        <x:v>5</x:v>
      </x:c>
      <x:c r="B45" s="41" t="str">
        <x:v>Threat engine có cơ sở vật lý</x:v>
      </x:c>
      <x:c r="C45" s="41" t="str">
        <x:v>Giai đoạn 3</x:v>
      </x:c>
      <x:c r="D45" s="41" t="str">
        <x:v>W05-05</x:v>
      </x:c>
      <x:c r="E45" s="41" t="str">
        <x:v>Không diễn giải score thành xác suất lũ tuyệt đối khi chưa có calibration đủ mạnh.</x:v>
      </x:c>
      <x:c r="F45" s="41" t="str">
        <x:v>Not Started</x:v>
      </x:c>
      <x:c r="G45" s="41" t="str"/>
      <x:c r="H45" s="41" t="str"/>
      <x:c r="I45" s="41" t="str"/>
    </x:row>
    <x:row r="46" ht="36" customHeight="1">
      <x:c r="A46" s="41" t="n">
        <x:v>5</x:v>
      </x:c>
      <x:c r="B46" s="41" t="str">
        <x:v>Threat engine có cơ sở vật lý</x:v>
      </x:c>
      <x:c r="C46" s="41" t="str">
        <x:v>Giai đoạn 3</x:v>
      </x:c>
      <x:c r="D46" s="41" t="str">
        <x:v>W05-06</x:v>
      </x:c>
      <x:c r="E46" s="41" t="str">
        <x:v>Tích hợp topology upstream/downstream vào Upstream Forcing.</x:v>
      </x:c>
      <x:c r="F46" s="41" t="str">
        <x:v>Not Started</x:v>
      </x:c>
      <x:c r="G46" s="41" t="str"/>
      <x:c r="H46" s="41" t="str"/>
      <x:c r="I46" s="41" t="str"/>
    </x:row>
    <x:row r="47" ht="36" customHeight="1">
      <x:c r="A47" s="41" t="n">
        <x:v>5</x:v>
      </x:c>
      <x:c r="B47" s="41" t="str">
        <x:v>Threat engine có cơ sở vật lý</x:v>
      </x:c>
      <x:c r="C47" s="41" t="str">
        <x:v>Giai đoạn 3</x:v>
      </x:c>
      <x:c r="D47" s="41" t="str">
        <x:v>W05-07</x:v>
      </x:c>
      <x:c r="E47" s="41" t="str">
        <x:v>Thêm test biên, missing-data behavior, stale-input behavior và tính quyết định khi replay.</x:v>
      </x:c>
      <x:c r="F47" s="41" t="str">
        <x:v>Not Started</x:v>
      </x:c>
      <x:c r="G47" s="41" t="str"/>
      <x:c r="H47" s="41" t="str"/>
      <x:c r="I47" s="41" t="str"/>
    </x:row>
    <x:row r="48" ht="36" customHeight="1">
      <x:c r="A48" s="41" t="n">
        <x:v>6</x:v>
      </x:c>
      <x:c r="B48" s="41" t="str">
        <x:v>Direct exposure và schema không gian phục vụ</x:v>
      </x:c>
      <x:c r="C48" s="41" t="str">
        <x:v>Giai đoạn 3</x:v>
      </x:c>
      <x:c r="D48" s="41" t="str">
        <x:v>W06-01</x:v>
      </x:c>
      <x:c r="E48" s="41" t="str">
        <x:v>Thiết kế PostGIS schema cho basin state, commune exposure, road segment, bridge, facility, settlement và impact forecast.</x:v>
      </x:c>
      <x:c r="F48" s="41" t="str">
        <x:v>Not Started</x:v>
      </x:c>
      <x:c r="G48" s="41" t="str"/>
      <x:c r="H48" s="41" t="str"/>
      <x:c r="I48" s="41" t="str"/>
    </x:row>
    <x:row r="49" ht="36" customHeight="1">
      <x:c r="A49" s="41" t="n">
        <x:v>6</x:v>
      </x:c>
      <x:c r="B49" s="41" t="str">
        <x:v>Direct exposure và schema không gian phục vụ</x:v>
      </x:c>
      <x:c r="C49" s="41" t="str">
        <x:v>Giai đoạn 3</x:v>
      </x:c>
      <x:c r="D49" s="41" t="str">
        <x:v>W06-02</x:v>
      </x:c>
      <x:c r="E49" s="41" t="str">
        <x:v>Chuyển OSM road network thành các segment có ID ổn định và thuộc tính routing tối thiểu.</x:v>
      </x:c>
      <x:c r="F49" s="41" t="str">
        <x:v>Not Started</x:v>
      </x:c>
      <x:c r="G49" s="41" t="str"/>
      <x:c r="H49" s="41" t="str"/>
      <x:c r="I49" s="41" t="str"/>
    </x:row>
    <x:row r="50" ht="36" customHeight="1">
      <x:c r="A50" s="41" t="n">
        <x:v>6</x:v>
      </x:c>
      <x:c r="B50" s="41" t="str">
        <x:v>Direct exposure và schema không gian phục vụ</x:v>
      </x:c>
      <x:c r="C50" s="41" t="str">
        <x:v>Giai đoạn 3</x:v>
      </x:c>
      <x:c r="D50" s="41" t="str">
        <x:v>W06-03</x:v>
      </x:c>
      <x:c r="E50" s="41" t="str">
        <x:v>Map risk từ sub-basin sang xã theo overlap area/ratio, không gán cứng một basin–một xã.</x:v>
      </x:c>
      <x:c r="F50" s="41" t="str">
        <x:v>Not Started</x:v>
      </x:c>
      <x:c r="G50" s="41" t="str"/>
      <x:c r="H50" s="41" t="str"/>
      <x:c r="I50" s="41" t="str"/>
    </x:row>
    <x:row r="51" ht="36" customHeight="1">
      <x:c r="A51" s="41" t="n">
        <x:v>6</x:v>
      </x:c>
      <x:c r="B51" s="41" t="str">
        <x:v>Direct exposure và schema không gian phục vụ</x:v>
      </x:c>
      <x:c r="C51" s="41" t="str">
        <x:v>Giai đoạn 3</x:v>
      </x:c>
      <x:c r="D51" s="41" t="str">
        <x:v>W06-04</x:v>
      </x:c>
      <x:c r="E51" s="41" t="str">
        <x:v>Tính direct exposure cho dân số, settlement, road, bridge, hospital, school và shelter.</x:v>
      </x:c>
      <x:c r="F51" s="41" t="str">
        <x:v>Not Started</x:v>
      </x:c>
      <x:c r="G51" s="41" t="str"/>
      <x:c r="H51" s="41" t="str"/>
      <x:c r="I51" s="41" t="str"/>
    </x:row>
    <x:row r="52" ht="36" customHeight="1">
      <x:c r="A52" s="41" t="n">
        <x:v>6</x:v>
      </x:c>
      <x:c r="B52" s="41" t="str">
        <x:v>Direct exposure và schema không gian phục vụ</x:v>
      </x:c>
      <x:c r="C52" s="41" t="str">
        <x:v>Giai đoạn 3</x:v>
      </x:c>
      <x:c r="D52" s="41" t="str">
        <x:v>W06-05</x:v>
      </x:c>
      <x:c r="E52" s="41" t="str">
        <x:v>Phân biệt quan hệ dự báo MAY_AFFECT/MAY_BLOCK với evidence quan sát AFFECTED/BLOCKED.</x:v>
      </x:c>
      <x:c r="F52" s="41" t="str">
        <x:v>Not Started</x:v>
      </x:c>
      <x:c r="G52" s="41" t="str"/>
      <x:c r="H52" s="41" t="str"/>
      <x:c r="I52" s="41" t="str"/>
    </x:row>
    <x:row r="53" ht="36" customHeight="1">
      <x:c r="A53" s="41" t="n">
        <x:v>6</x:v>
      </x:c>
      <x:c r="B53" s="41" t="str">
        <x:v>Direct exposure và schema không gian phục vụ</x:v>
      </x:c>
      <x:c r="C53" s="41" t="str">
        <x:v>Giai đoạn 3</x:v>
      </x:c>
      <x:c r="D53" s="41" t="str">
        <x:v>W06-06</x:v>
      </x:c>
      <x:c r="E53" s="41" t="str">
        <x:v>Chỉ recompute exposure của basin/entity nằm trong affected scope.</x:v>
      </x:c>
      <x:c r="F53" s="41" t="str">
        <x:v>Not Started</x:v>
      </x:c>
      <x:c r="G53" s="41" t="str"/>
      <x:c r="H53" s="41" t="str"/>
      <x:c r="I53" s="41" t="str"/>
    </x:row>
    <x:row r="54" ht="36" customHeight="1">
      <x:c r="A54" s="41" t="n">
        <x:v>6</x:v>
      </x:c>
      <x:c r="B54" s="41" t="str">
        <x:v>Direct exposure và schema không gian phục vụ</x:v>
      </x:c>
      <x:c r="C54" s="41" t="str">
        <x:v>Giai đoạn 3</x:v>
      </x:c>
      <x:c r="D54" s="41" t="str">
        <x:v>W06-07</x:v>
      </x:c>
      <x:c r="E54" s="41" t="str">
        <x:v>Tạo QA map và case kiểm tra geometry ở biên basin/xã.</x:v>
      </x:c>
      <x:c r="F54" s="41" t="str">
        <x:v>Not Started</x:v>
      </x:c>
      <x:c r="G54" s="41" t="str"/>
      <x:c r="H54" s="41" t="str"/>
      <x:c r="I54" s="41" t="str"/>
    </x:row>
    <x:row r="55" ht="36" customHeight="1">
      <x:c r="A55" s="41" t="n">
        <x:v>7</x:v>
      </x:c>
      <x:c r="B55" s="41" t="str">
        <x:v>Ontology và nạp Knowledge Graph</x:v>
      </x:c>
      <x:c r="C55" s="41" t="str">
        <x:v>Giai đoạn 4</x:v>
      </x:c>
      <x:c r="D55" s="41" t="str">
        <x:v>W07-01</x:v>
      </x:c>
      <x:c r="E55" s="41" t="str">
        <x:v>Chốt ontology/schema Neo4j cho SubBasin, Commune, Settlement, RoadSegment, Bridge, Facility, HazardState, ForecastRun và ObservedEvent.</x:v>
      </x:c>
      <x:c r="F55" s="41" t="str">
        <x:v>Not Started</x:v>
      </x:c>
      <x:c r="G55" s="41" t="str"/>
      <x:c r="H55" s="41" t="str"/>
      <x:c r="I55" s="41" t="str"/>
    </x:row>
    <x:row r="56" ht="36" customHeight="1">
      <x:c r="A56" s="41" t="n">
        <x:v>7</x:v>
      </x:c>
      <x:c r="B56" s="41" t="str">
        <x:v>Ontology và nạp Knowledge Graph</x:v>
      </x:c>
      <x:c r="C56" s="41" t="str">
        <x:v>Giai đoạn 4</x:v>
      </x:c>
      <x:c r="D56" s="41" t="str">
        <x:v>W07-02</x:v>
      </x:c>
      <x:c r="E56" s="41" t="str">
        <x:v>Chốt relation và semantics: DRAINS_TO, OVERLAPS, LOCATED_IN, CONNECTS, ACCESSIBLE_VIA, MAY_AFFECT, MAY_BLOCK và OBSERVED_AFFECTED.</x:v>
      </x:c>
      <x:c r="F56" s="41" t="str">
        <x:v>Not Started</x:v>
      </x:c>
      <x:c r="G56" s="41" t="str"/>
      <x:c r="H56" s="41" t="str"/>
      <x:c r="I56" s="41" t="str"/>
    </x:row>
    <x:row r="57" ht="36" customHeight="1">
      <x:c r="A57" s="41" t="n">
        <x:v>7</x:v>
      </x:c>
      <x:c r="B57" s="41" t="str">
        <x:v>Ontology và nạp Knowledge Graph</x:v>
      </x:c>
      <x:c r="C57" s="41" t="str">
        <x:v>Giai đoạn 4</x:v>
      </x:c>
      <x:c r="D57" s="41" t="str">
        <x:v>W07-03</x:v>
      </x:c>
      <x:c r="E57" s="41" t="str">
        <x:v>Định nghĩa stable node IDs, uniqueness constraints và indexes.</x:v>
      </x:c>
      <x:c r="F57" s="41" t="str">
        <x:v>Not Started</x:v>
      </x:c>
      <x:c r="G57" s="41" t="str"/>
      <x:c r="H57" s="41" t="str"/>
      <x:c r="I57" s="41" t="str"/>
    </x:row>
    <x:row r="58" ht="36" customHeight="1">
      <x:c r="A58" s="41" t="n">
        <x:v>7</x:v>
      </x:c>
      <x:c r="B58" s="41" t="str">
        <x:v>Ontology và nạp Knowledge Graph</x:v>
      </x:c>
      <x:c r="C58" s="41" t="str">
        <x:v>Giai đoạn 4</x:v>
      </x:c>
      <x:c r="D58" s="41" t="str">
        <x:v>W07-04</x:v>
      </x:c>
      <x:c r="E58" s="41" t="str">
        <x:v>Dựng Neo4j trong Docker Compose với persistent volume và secrets local.</x:v>
      </x:c>
      <x:c r="F58" s="41" t="str">
        <x:v>Not Started</x:v>
      </x:c>
      <x:c r="G58" s="41" t="str"/>
      <x:c r="H58" s="41" t="str"/>
      <x:c r="I58" s="41" t="str"/>
    </x:row>
    <x:row r="59" ht="36" customHeight="1">
      <x:c r="A59" s="41" t="n">
        <x:v>7</x:v>
      </x:c>
      <x:c r="B59" s="41" t="str">
        <x:v>Ontology và nạp Knowledge Graph</x:v>
      </x:c>
      <x:c r="C59" s="41" t="str">
        <x:v>Giai đoạn 4</x:v>
      </x:c>
      <x:c r="D59" s="41" t="str">
        <x:v>W07-05</x:v>
      </x:c>
      <x:c r="E59" s="41" t="str">
        <x:v>Viết initial graph loader từ canonical/PostGIS data, có thể chạy lại không tạo duplicate.</x:v>
      </x:c>
      <x:c r="F59" s="41" t="str">
        <x:v>Not Started</x:v>
      </x:c>
      <x:c r="G59" s="41" t="str"/>
      <x:c r="H59" s="41" t="str"/>
      <x:c r="I59" s="41" t="str"/>
    </x:row>
    <x:row r="60" ht="36" customHeight="1">
      <x:c r="A60" s="41" t="n">
        <x:v>7</x:v>
      </x:c>
      <x:c r="B60" s="41" t="str">
        <x:v>Ontology và nạp Knowledge Graph</x:v>
      </x:c>
      <x:c r="C60" s="41" t="str">
        <x:v>Giai đoạn 4</x:v>
      </x:c>
      <x:c r="D60" s="41" t="str">
        <x:v>W07-06</x:v>
      </x:c>
      <x:c r="E60" s="41" t="str">
        <x:v>Lưu source snapshot/version trên node hoặc edge cần audit.</x:v>
      </x:c>
      <x:c r="F60" s="41" t="str">
        <x:v>Not Started</x:v>
      </x:c>
      <x:c r="G60" s="41" t="str"/>
      <x:c r="H60" s="41" t="str"/>
      <x:c r="I60" s="41" t="str"/>
    </x:row>
    <x:row r="61" ht="36" customHeight="1">
      <x:c r="A61" s="41" t="n">
        <x:v>7</x:v>
      </x:c>
      <x:c r="B61" s="41" t="str">
        <x:v>Ontology và nạp Knowledge Graph</x:v>
      </x:c>
      <x:c r="C61" s="41" t="str">
        <x:v>Giai đoạn 4</x:v>
      </x:c>
      <x:c r="D61" s="41" t="str">
        <x:v>W07-07</x:v>
      </x:c>
      <x:c r="E61" s="41" t="str">
        <x:v>Viết truy vấn kiểm tra topology và orphan/duplicate nodes.</x:v>
      </x:c>
      <x:c r="F61" s="41" t="str">
        <x:v>Not Started</x:v>
      </x:c>
      <x:c r="G61" s="41" t="str"/>
      <x:c r="H61" s="41" t="str"/>
      <x:c r="I61" s="41" t="str"/>
    </x:row>
    <x:row r="62" ht="36" customHeight="1">
      <x:c r="A62" s="41" t="n">
        <x:v>8</x:v>
      </x:c>
      <x:c r="B62" s="41" t="str">
        <x:v>Incremental graph và cascading impact</x:v>
      </x:c>
      <x:c r="C62" s="41" t="str">
        <x:v>Giai đoạn 4</x:v>
      </x:c>
      <x:c r="D62" s="41" t="str">
        <x:v>W08-01</x:v>
      </x:c>
      <x:c r="E62" s="41" t="str">
        <x:v>Thiết kế graph changelog/update contract từ affected basin và impact changes.</x:v>
      </x:c>
      <x:c r="F62" s="41" t="str">
        <x:v>Not Started</x:v>
      </x:c>
      <x:c r="G62" s="41" t="str"/>
      <x:c r="H62" s="41" t="str"/>
      <x:c r="I62" s="41" t="str"/>
    </x:row>
    <x:row r="63" ht="36" customHeight="1">
      <x:c r="A63" s="41" t="n">
        <x:v>8</x:v>
      </x:c>
      <x:c r="B63" s="41" t="str">
        <x:v>Incremental graph và cascading impact</x:v>
      </x:c>
      <x:c r="C63" s="41" t="str">
        <x:v>Giai đoạn 4</x:v>
      </x:c>
      <x:c r="D63" s="41" t="str">
        <x:v>W08-02</x:v>
      </x:c>
      <x:c r="E63" s="41" t="str">
        <x:v>Cài incremental upsert/delete cho node/edge có version và valid time.</x:v>
      </x:c>
      <x:c r="F63" s="41" t="str">
        <x:v>Not Started</x:v>
      </x:c>
      <x:c r="G63" s="41" t="str"/>
      <x:c r="H63" s="41" t="str"/>
      <x:c r="I63" s="41" t="str"/>
    </x:row>
    <x:row r="64" ht="36" customHeight="1">
      <x:c r="A64" s="41" t="n">
        <x:v>8</x:v>
      </x:c>
      <x:c r="B64" s="41" t="str">
        <x:v>Incremental graph và cascading impact</x:v>
      </x:c>
      <x:c r="C64" s="41" t="str">
        <x:v>Giai đoạn 4</x:v>
      </x:c>
      <x:c r="D64" s="41" t="str">
        <x:v>W08-03</x:v>
      </x:c>
      <x:c r="E64" s="41" t="str">
        <x:v>Chỉ cập nhật subgraph chịu ảnh hưởng thay vì reload toàn bộ Neo4j.</x:v>
      </x:c>
      <x:c r="F64" s="41" t="str">
        <x:v>Not Started</x:v>
      </x:c>
      <x:c r="G64" s="41" t="str"/>
      <x:c r="H64" s="41" t="str"/>
      <x:c r="I64" s="41" t="str"/>
    </x:row>
    <x:row r="65" ht="36" customHeight="1">
      <x:c r="A65" s="41" t="n">
        <x:v>8</x:v>
      </x:c>
      <x:c r="B65" s="41" t="str">
        <x:v>Incremental graph và cascading impact</x:v>
      </x:c>
      <x:c r="C65" s="41" t="str">
        <x:v>Giai đoạn 4</x:v>
      </x:c>
      <x:c r="D65" s="41" t="str">
        <x:v>W08-04</x:v>
      </x:c>
      <x:c r="E65" s="41" t="str">
        <x:v>Xây truy vấn chuỗi bridge → road → commune/facility và nguy cơ cô lập.</x:v>
      </x:c>
      <x:c r="F65" s="41" t="str">
        <x:v>Not Started</x:v>
      </x:c>
      <x:c r="G65" s="41" t="str"/>
      <x:c r="H65" s="41" t="str"/>
      <x:c r="I65" s="41" t="str"/>
    </x:row>
    <x:row r="66" ht="36" customHeight="1">
      <x:c r="A66" s="41" t="n">
        <x:v>8</x:v>
      </x:c>
      <x:c r="B66" s="41" t="str">
        <x:v>Incremental graph và cascading impact</x:v>
      </x:c>
      <x:c r="C66" s="41" t="str">
        <x:v>Giai đoạn 4</x:v>
      </x:c>
      <x:c r="D66" s="41" t="str">
        <x:v>W08-05</x:v>
      </x:c>
      <x:c r="E66" s="41" t="str">
        <x:v>Bổ sung quan hệ ONLY_ACCESS_TO/MAY_ISOLATE từ network analysis có giải thích.</x:v>
      </x:c>
      <x:c r="F66" s="41" t="str">
        <x:v>Not Started</x:v>
      </x:c>
      <x:c r="G66" s="41" t="str"/>
      <x:c r="H66" s="41" t="str"/>
      <x:c r="I66" s="41" t="str"/>
    </x:row>
    <x:row r="67" ht="36" customHeight="1">
      <x:c r="A67" s="41" t="n">
        <x:v>8</x:v>
      </x:c>
      <x:c r="B67" s="41" t="str">
        <x:v>Incremental graph và cascading impact</x:v>
      </x:c>
      <x:c r="C67" s="41" t="str">
        <x:v>Giai đoạn 4</x:v>
      </x:c>
      <x:c r="D67" s="41" t="str">
        <x:v>W08-06</x:v>
      </x:c>
      <x:c r="E67" s="41" t="str">
        <x:v>Tạo scenario stress test cho mất cầu, đóng đường và source correction.</x:v>
      </x:c>
      <x:c r="F67" s="41" t="str">
        <x:v>Not Started</x:v>
      </x:c>
      <x:c r="G67" s="41" t="str"/>
      <x:c r="H67" s="41" t="str"/>
      <x:c r="I67" s="41" t="str"/>
    </x:row>
    <x:row r="68" ht="36" customHeight="1">
      <x:c r="A68" s="41" t="n">
        <x:v>8</x:v>
      </x:c>
      <x:c r="B68" s="41" t="str">
        <x:v>Incremental graph và cascading impact</x:v>
      </x:c>
      <x:c r="C68" s="41" t="str">
        <x:v>Giai đoạn 4</x:v>
      </x:c>
      <x:c r="D68" s="41" t="str">
        <x:v>W08-07</x:v>
      </x:c>
      <x:c r="E68" s="41" t="str">
        <x:v>Đo graph writes, affected nodes/edges và thời gian cập nhật.</x:v>
      </x:c>
      <x:c r="F68" s="41" t="str">
        <x:v>Not Started</x:v>
      </x:c>
      <x:c r="G68" s="41" t="str"/>
      <x:c r="H68" s="41" t="str"/>
      <x:c r="I68" s="41" t="str"/>
    </x:row>
    <x:row r="69" ht="36" customHeight="1">
      <x:c r="A69" s="41" t="n">
        <x:v>9</x:v>
      </x:c>
      <x:c r="B69" s="41" t="str">
        <x:v>Risk-aware routing</x:v>
      </x:c>
      <x:c r="C69" s="41" t="str">
        <x:v>Giai đoạn 5</x:v>
      </x:c>
      <x:c r="D69" s="41" t="str">
        <x:v>W09-01</x:v>
      </x:c>
      <x:c r="E69" s="41" t="str">
        <x:v>Chốt dùng NetworkX cho prototype hoặc PostGIS/pgRouting cho serving; ghi rõ lý do chọn.</x:v>
      </x:c>
      <x:c r="F69" s="41" t="str">
        <x:v>Not Started</x:v>
      </x:c>
      <x:c r="G69" s="41" t="str"/>
      <x:c r="H69" s="41" t="str"/>
      <x:c r="I69" s="41" t="str"/>
    </x:row>
    <x:row r="70" ht="36" customHeight="1">
      <x:c r="A70" s="41" t="n">
        <x:v>9</x:v>
      </x:c>
      <x:c r="B70" s="41" t="str">
        <x:v>Risk-aware routing</x:v>
      </x:c>
      <x:c r="C70" s="41" t="str">
        <x:v>Giai đoạn 5</x:v>
      </x:c>
      <x:c r="D70" s="41" t="str">
        <x:v>W09-02</x:v>
      </x:c>
      <x:c r="E70" s="41" t="str">
        <x:v>Thiết kế routing-edge schema: length, travel time, road type, surface, bridge, hazard level, uncertainty, status và valid time.</x:v>
      </x:c>
      <x:c r="F70" s="41" t="str">
        <x:v>Not Started</x:v>
      </x:c>
      <x:c r="G70" s="41" t="str"/>
      <x:c r="H70" s="41" t="str"/>
      <x:c r="I70" s="41" t="str"/>
    </x:row>
    <x:row r="71" ht="36" customHeight="1">
      <x:c r="A71" s="41" t="n">
        <x:v>9</x:v>
      </x:c>
      <x:c r="B71" s="41" t="str">
        <x:v>Risk-aware routing</x:v>
      </x:c>
      <x:c r="C71" s="41" t="str">
        <x:v>Giai đoạn 5</x:v>
      </x:c>
      <x:c r="D71" s="41" t="str">
        <x:v>W09-03</x:v>
      </x:c>
      <x:c r="E71" s="41" t="str">
        <x:v>Xây baseline shortest path và dynamic risk-cost function.</x:v>
      </x:c>
      <x:c r="F71" s="41" t="str">
        <x:v>Not Started</x:v>
      </x:c>
      <x:c r="G71" s="41" t="str"/>
      <x:c r="H71" s="41" t="str"/>
      <x:c r="I71" s="41" t="str"/>
    </x:row>
    <x:row r="72" ht="36" customHeight="1">
      <x:c r="A72" s="41" t="n">
        <x:v>9</x:v>
      </x:c>
      <x:c r="B72" s="41" t="str">
        <x:v>Risk-aware routing</x:v>
      </x:c>
      <x:c r="C72" s="41" t="str">
        <x:v>Giai đoạn 5</x:v>
      </x:c>
      <x:c r="D72" s="41" t="str">
        <x:v>W09-04</x:v>
      </x:c>
      <x:c r="E72" s="41" t="str">
        <x:v>Loại segment CLOSED; cộng hazard/quality/uncertainty penalty cho segment còn lại.</x:v>
      </x:c>
      <x:c r="F72" s="41" t="str">
        <x:v>Not Started</x:v>
      </x:c>
      <x:c r="G72" s="41" t="str"/>
      <x:c r="H72" s="41" t="str"/>
      <x:c r="I72" s="41" t="str"/>
    </x:row>
    <x:row r="73" ht="36" customHeight="1">
      <x:c r="A73" s="41" t="n">
        <x:v>9</x:v>
      </x:c>
      <x:c r="B73" s="41" t="str">
        <x:v>Risk-aware routing</x:v>
      </x:c>
      <x:c r="C73" s="41" t="str">
        <x:v>Giai đoạn 5</x:v>
      </x:c>
      <x:c r="D73" s="41" t="str">
        <x:v>W09-05</x:v>
      </x:c>
      <x:c r="E73" s="41" t="str">
        <x:v>Tạo routing endpoints giữa điểm ứng phó và xã/facility mục tiêu.</x:v>
      </x:c>
      <x:c r="F73" s="41" t="str">
        <x:v>Not Started</x:v>
      </x:c>
      <x:c r="G73" s="41" t="str"/>
      <x:c r="H73" s="41" t="str"/>
      <x:c r="I73" s="41" t="str"/>
    </x:row>
    <x:row r="74" ht="36" customHeight="1">
      <x:c r="A74" s="41" t="n">
        <x:v>9</x:v>
      </x:c>
      <x:c r="B74" s="41" t="str">
        <x:v>Risk-aware routing</x:v>
      </x:c>
      <x:c r="C74" s="41" t="str">
        <x:v>Giai đoạn 5</x:v>
      </x:c>
      <x:c r="D74" s="41" t="str">
        <x:v>W09-06</x:v>
      </x:c>
      <x:c r="E74" s="41" t="str">
        <x:v>So sánh distance, travel time, high-risk segments và total exposure giữa hai phương án.</x:v>
      </x:c>
      <x:c r="F74" s="41" t="str">
        <x:v>Not Started</x:v>
      </x:c>
      <x:c r="G74" s="41" t="str"/>
      <x:c r="H74" s="41" t="str"/>
      <x:c r="I74" s="41" t="str"/>
    </x:row>
    <x:row r="75" ht="36" customHeight="1">
      <x:c r="A75" s="41" t="n">
        <x:v>9</x:v>
      </x:c>
      <x:c r="B75" s="41" t="str">
        <x:v>Risk-aware routing</x:v>
      </x:c>
      <x:c r="C75" s="41" t="str">
        <x:v>Giai đoạn 5</x:v>
      </x:c>
      <x:c r="D75" s="41" t="str">
        <x:v>W09-07</x:v>
      </x:c>
      <x:c r="E75" s="41" t="str">
        <x:v>Gọi kết quả là “lower-risk recommended route”, không tuyên bố là tuyến an toàn.</x:v>
      </x:c>
      <x:c r="F75" s="41" t="str">
        <x:v>Not Started</x:v>
      </x:c>
      <x:c r="G75" s="41" t="str"/>
      <x:c r="H75" s="41" t="str"/>
      <x:c r="I75" s="41" t="str"/>
    </x:row>
    <x:row r="76" ht="36" customHeight="1">
      <x:c r="A76" s="41" t="n">
        <x:v>10</x:v>
      </x:c>
      <x:c r="B76" s="41" t="str">
        <x:v>API, dashboard và observability</x:v>
      </x:c>
      <x:c r="C76" s="41" t="str">
        <x:v>Giai đoạn 5</x:v>
      </x:c>
      <x:c r="D76" s="41" t="str">
        <x:v>W10-01</x:v>
      </x:c>
      <x:c r="E76" s="41" t="str">
        <x:v>Thiết kế API contract cho basin state, threat history, direct/cascading impact và route.</x:v>
      </x:c>
      <x:c r="F76" s="41" t="str">
        <x:v>Not Started</x:v>
      </x:c>
      <x:c r="G76" s="41" t="str"/>
      <x:c r="H76" s="41" t="str"/>
      <x:c r="I76" s="41" t="str"/>
    </x:row>
    <x:row r="77" ht="36" customHeight="1">
      <x:c r="A77" s="41" t="n">
        <x:v>10</x:v>
      </x:c>
      <x:c r="B77" s="41" t="str">
        <x:v>API, dashboard và observability</x:v>
      </x:c>
      <x:c r="C77" s="41" t="str">
        <x:v>Giai đoạn 5</x:v>
      </x:c>
      <x:c r="D77" s="41" t="str">
        <x:v>W10-02</x:v>
      </x:c>
      <x:c r="E77" s="41" t="str">
        <x:v>Xây FastAPI read-only endpoints với validation, pagination và response timestamps.</x:v>
      </x:c>
      <x:c r="F77" s="41" t="str">
        <x:v>Not Started</x:v>
      </x:c>
      <x:c r="G77" s="41" t="str"/>
      <x:c r="H77" s="41" t="str"/>
      <x:c r="I77" s="41" t="str"/>
    </x:row>
    <x:row r="78" ht="36" customHeight="1">
      <x:c r="A78" s="41" t="n">
        <x:v>10</x:v>
      </x:c>
      <x:c r="B78" s="41" t="str">
        <x:v>API, dashboard và observability</x:v>
      </x:c>
      <x:c r="C78" s="41" t="str">
        <x:v>Giai đoạn 5</x:v>
      </x:c>
      <x:c r="D78" s="41" t="str">
        <x:v>W10-03</x:v>
      </x:c>
      <x:c r="E78" s="41" t="str">
        <x:v>Xây dashboard Streamlit/MapLibre hiển thị sub-basin threat, xã, hạ tầng và route.</x:v>
      </x:c>
      <x:c r="F78" s="41" t="str">
        <x:v>Not Started</x:v>
      </x:c>
      <x:c r="G78" s="41" t="str"/>
      <x:c r="H78" s="41" t="str"/>
      <x:c r="I78" s="41" t="str"/>
    </x:row>
    <x:row r="79" ht="36" customHeight="1">
      <x:c r="A79" s="41" t="n">
        <x:v>10</x:v>
      </x:c>
      <x:c r="B79" s="41" t="str">
        <x:v>API, dashboard và observability</x:v>
      </x:c>
      <x:c r="C79" s="41" t="str">
        <x:v>Giai đoạn 5</x:v>
      </x:c>
      <x:c r="D79" s="41" t="str">
        <x:v>W10-04</x:v>
      </x:c>
      <x:c r="E79" s="41" t="str">
        <x:v>Thể hiện source time, valid time, ingested time, data age và stale warning trên UI.</x:v>
      </x:c>
      <x:c r="F79" s="41" t="str">
        <x:v>Not Started</x:v>
      </x:c>
      <x:c r="G79" s="41" t="str"/>
      <x:c r="H79" s="41" t="str"/>
      <x:c r="I79" s="41" t="str"/>
    </x:row>
    <x:row r="80" ht="36" customHeight="1">
      <x:c r="A80" s="41" t="n">
        <x:v>10</x:v>
      </x:c>
      <x:c r="B80" s="41" t="str">
        <x:v>API, dashboard và observability</x:v>
      </x:c>
      <x:c r="C80" s="41" t="str">
        <x:v>Giai đoạn 5</x:v>
      </x:c>
      <x:c r="D80" s="41" t="str">
        <x:v>W10-05</x:v>
      </x:c>
      <x:c r="E80" s="41" t="str">
        <x:v>Thêm metrics cho ingest latency, freshness, failed runs, affected scope và graph writes.</x:v>
      </x:c>
      <x:c r="F80" s="41" t="str">
        <x:v>Not Started</x:v>
      </x:c>
      <x:c r="G80" s="41" t="str"/>
      <x:c r="H80" s="41" t="str"/>
      <x:c r="I80" s="41" t="str"/>
    </x:row>
    <x:row r="81" ht="36" customHeight="1">
      <x:c r="A81" s="41" t="n">
        <x:v>10</x:v>
      </x:c>
      <x:c r="B81" s="41" t="str">
        <x:v>API, dashboard và observability</x:v>
      </x:c>
      <x:c r="C81" s="41" t="str">
        <x:v>Giai đoạn 5</x:v>
      </x:c>
      <x:c r="D81" s="41" t="str">
        <x:v>W10-06</x:v>
      </x:c>
      <x:c r="E81" s="41" t="str">
        <x:v>Dựng OpenMetadata profile và thu metadata/lineage từ Airflow, Iceberg và serving stores; nếu vượt tài nguyên máy phải ghi rõ lightweight lineage fallback được sử dụng.</x:v>
      </x:c>
      <x:c r="F81" s="41" t="str">
        <x:v>Not Started</x:v>
      </x:c>
      <x:c r="G81" s="41" t="str"/>
      <x:c r="H81" s="41" t="str"/>
      <x:c r="I81" s="41" t="str"/>
    </x:row>
    <x:row r="82" ht="36" customHeight="1">
      <x:c r="A82" s="41" t="n">
        <x:v>10</x:v>
      </x:c>
      <x:c r="B82" s="41" t="str">
        <x:v>API, dashboard và observability</x:v>
      </x:c>
      <x:c r="C82" s="41" t="str">
        <x:v>Giai đoạn 5</x:v>
      </x:c>
      <x:c r="D82" s="41" t="str">
        <x:v>W10-07</x:v>
      </x:c>
      <x:c r="E82" s="41" t="str">
        <x:v>Thêm health endpoints và trạng thái phụ thuộc MinIO/Polaris/PostGIS/Neo4j.</x:v>
      </x:c>
      <x:c r="F82" s="41" t="str">
        <x:v>Not Started</x:v>
      </x:c>
      <x:c r="G82" s="41" t="str"/>
      <x:c r="H82" s="41" t="str"/>
      <x:c r="I82" s="41" t="str"/>
    </x:row>
    <x:row r="83" ht="36" customHeight="1">
      <x:c r="A83" s="41" t="n">
        <x:v>10</x:v>
      </x:c>
      <x:c r="B83" s="41" t="str">
        <x:v>API, dashboard và observability</x:v>
      </x:c>
      <x:c r="C83" s="41" t="str">
        <x:v>Giai đoạn 5</x:v>
      </x:c>
      <x:c r="D83" s="41" t="str">
        <x:v>W10-08</x:v>
      </x:c>
      <x:c r="E83" s="41" t="str">
        <x:v>Hoàn thiện Docker Compose profile và hướng dẫn vận hành end-to-end.</x:v>
      </x:c>
      <x:c r="F83" s="41" t="str">
        <x:v>Not Started</x:v>
      </x:c>
      <x:c r="G83" s="41" t="str"/>
      <x:c r="H83" s="41" t="str"/>
      <x:c r="I83" s="41" t="str"/>
    </x:row>
    <x:row r="84" ht="36" customHeight="1">
      <x:c r="A84" s="41" t="n">
        <x:v>11</x:v>
      </x:c>
      <x:c r="B84" s="41" t="str">
        <x:v>Historical replay và đánh giá hazard/impact</x:v>
      </x:c>
      <x:c r="C84" s="41" t="str">
        <x:v>Giai đoạn 6</x:v>
      </x:c>
      <x:c r="D84" s="41" t="str">
        <x:v>W11-01</x:v>
      </x:c>
      <x:c r="E84" s="41" t="str">
        <x:v>Chọn các case lũ Sơn La 2020–2026 có evidence, thời gian và vị trí đủ dùng.</x:v>
      </x:c>
      <x:c r="F84" s="41" t="str">
        <x:v>Not Started</x:v>
      </x:c>
      <x:c r="G84" s="41" t="str"/>
      <x:c r="H84" s="41" t="str"/>
      <x:c r="I84" s="41" t="str"/>
    </x:row>
    <x:row r="85" ht="36" customHeight="1">
      <x:c r="A85" s="41" t="n">
        <x:v>11</x:v>
      </x:c>
      <x:c r="B85" s="41" t="str">
        <x:v>Historical replay và đánh giá hazard/impact</x:v>
      </x:c>
      <x:c r="C85" s="41" t="str">
        <x:v>Giai đoạn 6</x:v>
      </x:c>
      <x:c r="D85" s="41" t="str">
        <x:v>W11-02</x:v>
      </x:c>
      <x:c r="E85" s="41" t="str">
        <x:v>Chuẩn hóa observed evidence theo nguyên tắc blank ≠ zero và no report ≠ no impact.</x:v>
      </x:c>
      <x:c r="F85" s="41" t="str">
        <x:v>Not Started</x:v>
      </x:c>
      <x:c r="G85" s="41" t="str"/>
      <x:c r="H85" s="41" t="str"/>
      <x:c r="I85" s="41" t="str"/>
    </x:row>
    <x:row r="86" ht="36" customHeight="1">
      <x:c r="A86" s="41" t="n">
        <x:v>11</x:v>
      </x:c>
      <x:c r="B86" s="41" t="str">
        <x:v>Historical replay và đánh giá hazard/impact</x:v>
      </x:c>
      <x:c r="C86" s="41" t="str">
        <x:v>Giai đoạn 6</x:v>
      </x:c>
      <x:c r="D86" s="41" t="str">
        <x:v>W11-03</x:v>
      </x:c>
      <x:c r="E86" s="41" t="str">
        <x:v>Replay theo địa giới hiện hành bằng crosswalk xã cũ–xã mới và lưu spatial precision.</x:v>
      </x:c>
      <x:c r="F86" s="41" t="str">
        <x:v>Not Started</x:v>
      </x:c>
      <x:c r="G86" s="41" t="str"/>
      <x:c r="H86" s="41" t="str"/>
      <x:c r="I86" s="41" t="str"/>
    </x:row>
    <x:row r="87" ht="36" customHeight="1">
      <x:c r="A87" s="41" t="n">
        <x:v>11</x:v>
      </x:c>
      <x:c r="B87" s="41" t="str">
        <x:v>Historical replay và đánh giá hazard/impact</x:v>
      </x:c>
      <x:c r="C87" s="41" t="str">
        <x:v>Giai đoạn 6</x:v>
      </x:c>
      <x:c r="D87" s="41" t="str">
        <x:v>W11-04</x:v>
      </x:c>
      <x:c r="E87" s="41" t="str">
        <x:v>Bảo đảm replay chỉ sử dụng dữ liệu có thể biết tại hoặc trước thời điểm T.</x:v>
      </x:c>
      <x:c r="F87" s="41" t="str">
        <x:v>Not Started</x:v>
      </x:c>
      <x:c r="G87" s="41" t="str"/>
      <x:c r="H87" s="41" t="str"/>
      <x:c r="I87" s="41" t="str"/>
    </x:row>
    <x:row r="88" ht="36" customHeight="1">
      <x:c r="A88" s="41" t="n">
        <x:v>11</x:v>
      </x:c>
      <x:c r="B88" s="41" t="str">
        <x:v>Historical replay và đánh giá hazard/impact</x:v>
      </x:c>
      <x:c r="C88" s="41" t="str">
        <x:v>Giai đoạn 6</x:v>
      </x:c>
      <x:c r="D88" s="41" t="str">
        <x:v>W11-05</x:v>
      </x:c>
      <x:c r="E88" s="41" t="str">
        <x:v>Phân biệt true historical forecast với retrospective condition reconstruction.</x:v>
      </x:c>
      <x:c r="F88" s="41" t="str">
        <x:v>Not Started</x:v>
      </x:c>
      <x:c r="G88" s="41" t="str"/>
      <x:c r="H88" s="41" t="str"/>
      <x:c r="I88" s="41" t="str"/>
    </x:row>
    <x:row r="89" ht="36" customHeight="1">
      <x:c r="A89" s="41" t="n">
        <x:v>11</x:v>
      </x:c>
      <x:c r="B89" s="41" t="str">
        <x:v>Historical replay và đánh giá hazard/impact</x:v>
      </x:c>
      <x:c r="C89" s="41" t="str">
        <x:v>Giai đoạn 6</x:v>
      </x:c>
      <x:c r="D89" s="41" t="str">
        <x:v>W11-06</x:v>
      </x:c>
      <x:c r="E89" s="41" t="str">
        <x:v>Tính basin/commune rank, Top-K hit rate, top 5%/10% hit và lead time.</x:v>
      </x:c>
      <x:c r="F89" s="41" t="str">
        <x:v>Not Started</x:v>
      </x:c>
      <x:c r="G89" s="41" t="str"/>
      <x:c r="H89" s="41" t="str"/>
      <x:c r="I89" s="41" t="str"/>
    </x:row>
    <x:row r="90" ht="36" customHeight="1">
      <x:c r="A90" s="41" t="n">
        <x:v>11</x:v>
      </x:c>
      <x:c r="B90" s="41" t="str">
        <x:v>Historical replay và đánh giá hazard/impact</x:v>
      </x:c>
      <x:c r="C90" s="41" t="str">
        <x:v>Giai đoạn 6</x:v>
      </x:c>
      <x:c r="D90" s="41" t="str">
        <x:v>W11-07</x:v>
      </x:c>
      <x:c r="E90" s="41" t="str">
        <x:v>Đánh giá direct impact và cascading-impact case study với confidence/uncertainty.</x:v>
      </x:c>
      <x:c r="F90" s="41" t="str">
        <x:v>Not Started</x:v>
      </x:c>
      <x:c r="G90" s="41" t="str"/>
      <x:c r="H90" s="41" t="str"/>
      <x:c r="I90" s="41" t="str"/>
    </x:row>
    <x:row r="91" ht="36" customHeight="1">
      <x:c r="A91" s="41" t="n">
        <x:v>12</x:v>
      </x:c>
      <x:c r="B91" s="41" t="str">
        <x:v>Benchmark incremental và failure scenarios</x:v>
      </x:c>
      <x:c r="C91" s="41" t="str">
        <x:v>Giai đoạn 6</x:v>
      </x:c>
      <x:c r="D91" s="41" t="str">
        <x:v>W12-01</x:v>
      </x:c>
      <x:c r="E91" s="41" t="str">
        <x:v>Benchmark full recomputation so với incremental cho 1, 5, 10%, 25%, 50% và 100% basin thay đổi.</x:v>
      </x:c>
      <x:c r="F91" s="41" t="str">
        <x:v>Not Started</x:v>
      </x:c>
      <x:c r="G91" s="41" t="str"/>
      <x:c r="H91" s="41" t="str"/>
      <x:c r="I91" s="41" t="str"/>
    </x:row>
    <x:row r="92" ht="36" customHeight="1">
      <x:c r="A92" s="41" t="n">
        <x:v>12</x:v>
      </x:c>
      <x:c r="B92" s="41" t="str">
        <x:v>Benchmark incremental và failure scenarios</x:v>
      </x:c>
      <x:c r="C92" s="41" t="str">
        <x:v>Giai đoạn 6</x:v>
      </x:c>
      <x:c r="D92" s="41" t="str">
        <x:v>W12-02</x:v>
      </x:c>
      <x:c r="E92" s="41" t="str">
        <x:v>Đo processing time, rows processed, graph writes, memory và end-to-end latency.</x:v>
      </x:c>
      <x:c r="F92" s="41" t="str">
        <x:v>Not Started</x:v>
      </x:c>
      <x:c r="G92" s="41" t="str"/>
      <x:c r="H92" s="41" t="str"/>
      <x:c r="I92" s="41" t="str"/>
    </x:row>
    <x:row r="93" ht="36" customHeight="1">
      <x:c r="A93" s="41" t="n">
        <x:v>12</x:v>
      </x:c>
      <x:c r="B93" s="41" t="str">
        <x:v>Benchmark incremental và failure scenarios</x:v>
      </x:c>
      <x:c r="C93" s="41" t="str">
        <x:v>Giai đoạn 6</x:v>
      </x:c>
      <x:c r="D93" s="41" t="str">
        <x:v>W12-03</x:v>
      </x:c>
      <x:c r="E93" s="41" t="str">
        <x:v>Kiểm thử forecast revision và xác nhận stale state bị supersede đúng.</x:v>
      </x:c>
      <x:c r="F93" s="41" t="str">
        <x:v>Not Started</x:v>
      </x:c>
      <x:c r="G93" s="41" t="str"/>
      <x:c r="H93" s="41" t="str"/>
      <x:c r="I93" s="41" t="str"/>
    </x:row>
    <x:row r="94" ht="36" customHeight="1">
      <x:c r="A94" s="41" t="n">
        <x:v>12</x:v>
      </x:c>
      <x:c r="B94" s="41" t="str">
        <x:v>Benchmark incremental và failure scenarios</x:v>
      </x:c>
      <x:c r="C94" s="41" t="str">
        <x:v>Giai đoạn 6</x:v>
      </x:c>
      <x:c r="D94" s="41" t="str">
        <x:v>W12-04</x:v>
      </x:c>
      <x:c r="E94" s="41" t="str">
        <x:v>Kiểm thử late-arriving GSMaP và recompute đúng time window.</x:v>
      </x:c>
      <x:c r="F94" s="41" t="str">
        <x:v>Not Started</x:v>
      </x:c>
      <x:c r="G94" s="41" t="str"/>
      <x:c r="H94" s="41" t="str"/>
      <x:c r="I94" s="41" t="str"/>
    </x:row>
    <x:row r="95" ht="36" customHeight="1">
      <x:c r="A95" s="41" t="n">
        <x:v>12</x:v>
      </x:c>
      <x:c r="B95" s="41" t="str">
        <x:v>Benchmark incremental và failure scenarios</x:v>
      </x:c>
      <x:c r="C95" s="41" t="str">
        <x:v>Giai đoạn 6</x:v>
      </x:c>
      <x:c r="D95" s="41" t="str">
        <x:v>W12-05</x:v>
      </x:c>
      <x:c r="E95" s="41" t="str">
        <x:v>Kiểm thử source outage/fallback, stale flags và recovery sau gián đoạn.</x:v>
      </x:c>
      <x:c r="F95" s="41" t="str">
        <x:v>Not Started</x:v>
      </x:c>
      <x:c r="G95" s="41" t="str"/>
      <x:c r="H95" s="41" t="str"/>
      <x:c r="I95" s="41" t="str"/>
    </x:row>
    <x:row r="96" ht="36" customHeight="1">
      <x:c r="A96" s="41" t="n">
        <x:v>12</x:v>
      </x:c>
      <x:c r="B96" s="41" t="str">
        <x:v>Benchmark incremental và failure scenarios</x:v>
      </x:c>
      <x:c r="C96" s="41" t="str">
        <x:v>Giai đoạn 6</x:v>
      </x:c>
      <x:c r="D96" s="41" t="str">
        <x:v>W12-06</x:v>
      </x:c>
      <x:c r="E96" s="41" t="str">
        <x:v>Kiểm thử idempotence, restart giữa chừng và replay từ Iceberg snapshots.</x:v>
      </x:c>
      <x:c r="F96" s="41" t="str">
        <x:v>Not Started</x:v>
      </x:c>
      <x:c r="G96" s="41" t="str"/>
      <x:c r="H96" s="41" t="str"/>
      <x:c r="I96" s="41" t="str"/>
    </x:row>
    <x:row r="97" ht="36" customHeight="1">
      <x:c r="A97" s="41" t="n">
        <x:v>12</x:v>
      </x:c>
      <x:c r="B97" s="41" t="str">
        <x:v>Benchmark incremental và failure scenarios</x:v>
      </x:c>
      <x:c r="C97" s="41" t="str">
        <x:v>Giai đoạn 6</x:v>
      </x:c>
      <x:c r="D97" s="41" t="str">
        <x:v>W12-07</x:v>
      </x:c>
      <x:c r="E97" s="41" t="str">
        <x:v>Tổng hợp bảng/biểu đồ, cấu hình máy và điều kiện thí nghiệm để kết quả tái lập được.</x:v>
      </x:c>
      <x:c r="F97" s="41" t="str">
        <x:v>Not Started</x:v>
      </x:c>
      <x:c r="G97" s="41" t="str"/>
      <x:c r="H97" s="41" t="str"/>
      <x:c r="I97" s="41" t="str"/>
    </x:row>
    <x:row r="98" ht="36" customHeight="1">
      <x:c r="A98" s="41" t="n">
        <x:v>13</x:v>
      </x:c>
      <x:c r="B98" s="41" t="str">
        <x:v>Báo cáo, demo và bàn giao</x:v>
      </x:c>
      <x:c r="C98" s="41" t="str">
        <x:v>Giai đoạn 6</x:v>
      </x:c>
      <x:c r="D98" s="41" t="str">
        <x:v>W13-01</x:v>
      </x:c>
      <x:c r="E98" s="41" t="str">
        <x:v>Hoàn thiện báo cáo: phương pháp, kiến trúc, schema, data lineage, threat engine, KG, routing, đánh giá, hạn chế và hướng phát triển.</x:v>
      </x:c>
      <x:c r="F98" s="41" t="str">
        <x:v>Not Started</x:v>
      </x:c>
      <x:c r="G98" s="41" t="str"/>
      <x:c r="H98" s="41" t="str"/>
      <x:c r="I98" s="41" t="str"/>
    </x:row>
    <x:row r="99" ht="36" customHeight="1">
      <x:c r="A99" s="41" t="n">
        <x:v>13</x:v>
      </x:c>
      <x:c r="B99" s="41" t="str">
        <x:v>Báo cáo, demo và bàn giao</x:v>
      </x:c>
      <x:c r="C99" s="41" t="str">
        <x:v>Giai đoạn 6</x:v>
      </x:c>
      <x:c r="D99" s="41" t="str">
        <x:v>W13-02</x:v>
      </x:c>
      <x:c r="E99" s="41" t="str">
        <x:v>Cập nhật sơ đồ kiến trúc as-built, ERD/schema Iceberg/PostGIS và ontology Neo4j.</x:v>
      </x:c>
      <x:c r="F99" s="41" t="str">
        <x:v>Not Started</x:v>
      </x:c>
      <x:c r="G99" s="41" t="str"/>
      <x:c r="H99" s="41" t="str"/>
      <x:c r="I99" s="41" t="str"/>
    </x:row>
    <x:row r="100" ht="36" customHeight="1">
      <x:c r="A100" s="41" t="n">
        <x:v>13</x:v>
      </x:c>
      <x:c r="B100" s="41" t="str">
        <x:v>Báo cáo, demo và bàn giao</x:v>
      </x:c>
      <x:c r="C100" s="41" t="str">
        <x:v>Giai đoạn 6</x:v>
      </x:c>
      <x:c r="D100" s="41" t="str">
        <x:v>W13-03</x:v>
      </x:c>
      <x:c r="E100" s="41" t="str">
        <x:v>Đối chiếu kết quả với RQ1–RQ5 và tách kết luận có bằng chứng khỏi giả định.</x:v>
      </x:c>
      <x:c r="F100" s="41" t="str">
        <x:v>Not Started</x:v>
      </x:c>
      <x:c r="G100" s="41" t="str"/>
      <x:c r="H100" s="41" t="str"/>
      <x:c r="I100" s="41" t="str"/>
    </x:row>
    <x:row r="101" ht="36" customHeight="1">
      <x:c r="A101" s="41" t="n">
        <x:v>13</x:v>
      </x:c>
      <x:c r="B101" s="41" t="str">
        <x:v>Báo cáo, demo và bàn giao</x:v>
      </x:c>
      <x:c r="C101" s="41" t="str">
        <x:v>Giai đoạn 6</x:v>
      </x:c>
      <x:c r="D101" s="41" t="str">
        <x:v>W13-04</x:v>
      </x:c>
      <x:c r="E101" s="41" t="str">
        <x:v>Chuẩn bị demo end-to-end và phương án demo offline bằng dữ liệu replay cố định.</x:v>
      </x:c>
      <x:c r="F101" s="41" t="str">
        <x:v>Not Started</x:v>
      </x:c>
      <x:c r="G101" s="41" t="str"/>
      <x:c r="H101" s="41" t="str"/>
      <x:c r="I101" s="41" t="str"/>
    </x:row>
    <x:row r="102" ht="36" customHeight="1">
      <x:c r="A102" s="41" t="n">
        <x:v>13</x:v>
      </x:c>
      <x:c r="B102" s="41" t="str">
        <x:v>Báo cáo, demo và bàn giao</x:v>
      </x:c>
      <x:c r="C102" s="41" t="str">
        <x:v>Giai đoạn 6</x:v>
      </x:c>
      <x:c r="D102" s="41" t="str">
        <x:v>W13-05</x:v>
      </x:c>
      <x:c r="E102" s="41" t="str">
        <x:v>Hoàn thiện README, data catalog, runbook, backup/restore và troubleshooting.</x:v>
      </x:c>
      <x:c r="F102" s="41" t="str">
        <x:v>Not Started</x:v>
      </x:c>
      <x:c r="G102" s="41" t="str"/>
      <x:c r="H102" s="41" t="str"/>
      <x:c r="I102" s="41" t="str"/>
    </x:row>
    <x:row r="103" ht="36" customHeight="1">
      <x:c r="A103" s="41" t="n">
        <x:v>13</x:v>
      </x:c>
      <x:c r="B103" s="41" t="str">
        <x:v>Báo cáo, demo và bàn giao</x:v>
      </x:c>
      <x:c r="C103" s="41" t="str">
        <x:v>Giai đoạn 6</x:v>
      </x:c>
      <x:c r="D103" s="41" t="str">
        <x:v>W13-06</x:v>
      </x:c>
      <x:c r="E103" s="41" t="str">
        <x:v>Rà soát license, citation, secrets, dung lượng Git và khả năng tái lập trên máy mới.</x:v>
      </x:c>
      <x:c r="F103" s="41" t="str">
        <x:v>Not Started</x:v>
      </x:c>
      <x:c r="G103" s="41" t="str"/>
      <x:c r="H103" s="41" t="str"/>
      <x:c r="I103" s="41" t="str"/>
    </x:row>
    <x:row r="104" ht="36" customHeight="1">
      <x:c r="A104" s="41" t="n">
        <x:v>13</x:v>
      </x:c>
      <x:c r="B104" s="41" t="str">
        <x:v>Báo cáo, demo và bàn giao</x:v>
      </x:c>
      <x:c r="C104" s="41" t="str">
        <x:v>Giai đoạn 6</x:v>
      </x:c>
      <x:c r="D104" s="41" t="str">
        <x:v>W13-07</x:v>
      </x:c>
      <x:c r="E104" s="41" t="str">
        <x:v>Chạy acceptance test cuối, đóng băng version/tag và chuẩn bị slide bảo vệ.</x:v>
      </x:c>
      <x:c r="F104" s="41" t="str">
        <x:v>Not Started</x:v>
      </x:c>
      <x:c r="G104" s="41" t="str"/>
      <x:c r="H104" s="41" t="str"/>
      <x:c r="I104" s="41" t="str"/>
    </x:row>
  </x:sheetData>
  <x:conditionalFormatting sqref="F2:F104">
    <x:cfRule type="expression" dxfId="0" priority="1">
      <x:formula>F2="Done"</x:formula>
    </x:cfRule>
    <x:cfRule type="expression" dxfId="1" priority="2">
      <x:formula>F2="In Progress"</x:formula>
    </x:cfRule>
    <x:cfRule type="expression" dxfId="2" priority="3">
      <x:formula>F2="Blocked"</x:formula>
    </x:cfRule>
  </x:conditionalFormatting>
  <x:dataValidations count="1">
    <x:dataValidation type="list" sqref="F2:F104">
      <x:formula1>"Done,In Progress,Not Started,Blocked"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a5ca7b2c81d470d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6" hidden="0" customWidth="1"/>
    <x:col min="3" max="3" width="70" hidden="0" customWidth="1"/>
  </x:cols>
  <x:sheetData>
    <x:row r="1">
      <x:c r="A1" s="44" t="str">
        <x:v>Milestone</x:v>
      </x:c>
      <x:c r="B1" s="44" t="str">
        <x:v>Due</x:v>
      </x:c>
      <x:c r="C1" s="44" t="str">
        <x:v>Acceptance criteria</x:v>
      </x:c>
    </x:row>
    <x:row r="2" ht="34" customHeight="1">
      <x:c r="A2" s="41" t="str">
        <x:v>M1 — Static baseline</x:v>
      </x:c>
      <x:c r="B2" s="41" t="str">
        <x:v>Cuối tuần 1</x:v>
      </x:c>
      <x:c r="C2" s="41" t="str">
        <x:v>Static crawl/profile/mapping/QA hoàn tất, raw được giữ nguyên</x:v>
      </x:c>
    </x:row>
    <x:row r="3" ht="34" customHeight="1">
      <x:c r="A3" s="41" t="str">
        <x:v>M2 — Dynamic Lakehouse</x:v>
      </x:c>
      <x:c r="B3" s="41" t="str">
        <x:v>Cuối tuần 4</x:v>
      </x:c>
      <x:c r="C3" s="41" t="str">
        <x:v>Hourly ingest, Iceberg versioning, correction/replay và basin state hoạt động</x:v>
      </x:c>
    </x:row>
    <x:row r="4" ht="34" customHeight="1">
      <x:c r="A4" s="41" t="str">
        <x:v>M3 — Hazard và direct impact</x:v>
      </x:c>
      <x:c r="B4" s="41" t="str">
        <x:v>Cuối tuần 6</x:v>
      </x:c>
      <x:c r="C4" s="41" t="str">
        <x:v>Threat state và exposure có provenance, affected-scope recompute hoạt động</x:v>
      </x:c>
    </x:row>
    <x:row r="5" ht="34" customHeight="1">
      <x:c r="A5" s="41" t="str">
        <x:v>M4 — Cascading impact</x:v>
      </x:c>
      <x:c r="B5" s="41" t="str">
        <x:v>Cuối tuần 8</x:v>
      </x:c>
      <x:c r="C5" s="41" t="str">
        <x:v>Neo4j incremental update và các truy vấn dependency/cô lập hoạt động</x:v>
      </x:c>
    </x:row>
    <x:row r="6" ht="34" customHeight="1">
      <x:c r="A6" s="41" t="str">
        <x:v>M5 — Prototype sử dụng được</x:v>
      </x:c>
      <x:c r="B6" s="41" t="str">
        <x:v>Cuối tuần 10</x:v>
      </x:c>
      <x:c r="C6" s="41" t="str">
        <x:v>Routing, API, dashboard và metrics chạy end-to-end</x:v>
      </x:c>
    </x:row>
    <x:row r="7" ht="34" customHeight="1">
      <x:c r="A7" s="41" t="str">
        <x:v>M6 — Đánh giá và bàn giao</x:v>
      </x:c>
      <x:c r="B7" s="41" t="str">
        <x:v>Cuối tuần 13</x:v>
      </x:c>
      <x:c r="C7" s="41" t="str">
        <x:v>Replay, benchmark, báo cáo, demo và tài liệu tái lập hoàn tất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54" hidden="0" customWidth="1"/>
    <x:col min="2" max="2" width="18" hidden="0" customWidth="1"/>
    <x:col min="3" max="3" width="20" hidden="0" customWidth="1"/>
  </x:cols>
  <x:sheetData>
    <x:row r="1">
      <x:c r="A1" s="44" t="str">
        <x:v>Schema / Contract</x:v>
      </x:c>
      <x:c r="B1" s="44" t="str">
        <x:v>Planned week</x:v>
      </x:c>
      <x:c r="C1" s="44" t="str">
        <x:v>Status</x:v>
      </x:c>
    </x:row>
    <x:row r="2">
      <x:c r="A2" s="41" t="str">
        <x:v>Static basin profile và spatial mappings</x:v>
      </x:c>
      <x:c r="B2" s="41" t="str">
        <x:v>1</x:v>
      </x:c>
      <x:c r="C2" s="41" t="str">
        <x:v>Hoàn thành</x:v>
      </x:c>
    </x:row>
    <x:row r="3">
      <x:c r="A3" s="41" t="str">
        <x:v>Canonical dynamic observations/forecast</x:v>
      </x:c>
      <x:c r="B3" s="41" t="str">
        <x:v>3</x:v>
      </x:c>
      <x:c r="C3" s="41" t="str">
        <x:v>Chưa hoàn thành</x:v>
      </x:c>
    </x:row>
    <x:row r="4">
      <x:c r="A4" s="41" t="str">
        <x:v>Temporal versioning, provenance và change event</x:v>
      </x:c>
      <x:c r="B4" s="41" t="str">
        <x:v>3–4</x:v>
      </x:c>
      <x:c r="C4" s="41" t="str">
        <x:v>Chưa hoàn thành</x:v>
      </x:c>
    </x:row>
    <x:row r="5">
      <x:c r="A5" s="41" t="str">
        <x:v>Dynamic basin state và threat state</x:v>
      </x:c>
      <x:c r="B5" s="41" t="str">
        <x:v>4–5</x:v>
      </x:c>
      <x:c r="C5" s="41" t="str">
        <x:v>Chưa hoàn thành</x:v>
      </x:c>
    </x:row>
    <x:row r="6">
      <x:c r="A6" s="41" t="str">
        <x:v>PostGIS exposure/impact/routing</x:v>
      </x:c>
      <x:c r="B6" s="41" t="str">
        <x:v>6 và 9</x:v>
      </x:c>
      <x:c r="C6" s="41" t="str">
        <x:v>Chưa hoàn thành</x:v>
      </x:c>
    </x:row>
    <x:row r="7">
      <x:c r="A7" s="41" t="str">
        <x:v>Neo4j ontology và graph update contract</x:v>
      </x:c>
      <x:c r="B7" s="41" t="str">
        <x:v>7–8</x:v>
      </x:c>
      <x:c r="C7" s="41" t="str">
        <x:v>Chưa hoàn thành</x:v>
      </x:c>
    </x:row>
    <x:row r="8">
      <x:c r="A8" s="41" t="str">
        <x:v>API responses và dashboard state</x:v>
      </x:c>
      <x:c r="B8" s="41" t="str">
        <x:v>10</x:v>
      </x:c>
      <x:c r="C8" s="41" t="str">
        <x:v>Chưa hoàn thành</x:v>
      </x:c>
    </x:row>
  </x:sheetData>
  <x:dataValidations count="1">
    <x:dataValidation type="list" sqref="C2:C8">
      <x:formula1>"Hoàn thành,Đang thực hiện,Chưa hoàn thành"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70" hidden="0" customWidth="1"/>
    <x:col min="3" max="3" width="14" hidden="0" customWidth="1"/>
    <x:col min="4" max="4" width="14" hidden="0" customWidth="1"/>
    <x:col min="5" max="5" width="46" hidden="0" customWidth="1"/>
  </x:cols>
  <x:sheetData>
    <x:row r="1">
      <x:c r="A1" s="44" t="str">
        <x:v>Risk ID</x:v>
      </x:c>
      <x:c r="B1" s="44" t="str">
        <x:v>Risk</x:v>
      </x:c>
      <x:c r="C1" s="44" t="str">
        <x:v>Likelihood</x:v>
      </x:c>
      <x:c r="D1" s="44" t="str">
        <x:v>Impact</x:v>
      </x:c>
      <x:c r="E1" s="44" t="str">
        <x:v>Mitigation / Action</x:v>
      </x:c>
    </x:row>
    <x:row r="2" ht="42" customHeight="1">
      <x:c r="A2" s="41" t="str">
        <x:v>R01</x:v>
      </x:c>
      <x:c r="B2" s="41" t="str">
        <x:v>Khả năng truy cập hoặc giới hạn tải GSMaP/ERA5-Land/forecast archive.</x:v>
      </x:c>
      <x:c r="C2" s="41" t="str"/>
      <x:c r="D2" s="41" t="str"/>
      <x:c r="E2" s="41" t="str"/>
    </x:row>
    <x:row r="3" ht="42" customHeight="1">
      <x:c r="A3" s="41" t="str">
        <x:v>R02</x:v>
      </x:c>
      <x:c r="B3" s="41" t="str">
        <x:v>Historical forecast không đầy đủ; phải gắn nhãn reconstruction để tránh data leakage.</x:v>
      </x:c>
      <x:c r="C3" s="41" t="str"/>
      <x:c r="D3" s="41" t="str"/>
      <x:c r="E3" s="41" t="str"/>
    </x:row>
    <x:row r="4" ht="42" customHeight="1">
      <x:c r="A4" s="41" t="str">
        <x:v>R03</x:v>
      </x:c>
      <x:c r="B4" s="41" t="str">
        <x:v>Ground truth cấp xã/bản ít và không đồng nhất; không xem thiếu báo cáo là negative label.</x:v>
      </x:c>
      <x:c r="C4" s="41" t="str"/>
      <x:c r="D4" s="41" t="str"/>
      <x:c r="E4" s="41" t="str"/>
    </x:row>
    <x:row r="5" ht="42" customHeight="1">
      <x:c r="A5" s="41" t="str">
        <x:v>R04</x:v>
      </x:c>
      <x:c r="B5" s="41" t="str">
        <x:v>OSM có thể thiếu bridge/facility/road attributes; cần QA và uncertainty flag.</x:v>
      </x:c>
      <x:c r="C5" s="41" t="str"/>
      <x:c r="D5" s="41" t="str"/>
      <x:c r="E5" s="41" t="str"/>
    </x:row>
    <x:row r="6" ht="42" customHeight="1">
      <x:c r="A6" s="41" t="str">
        <x:v>R05</x:v>
      </x:c>
      <x:c r="B6" s="41" t="str">
        <x:v>Sai khác độ phân giải raster–basin và thay đổi địa giới hành chính có thể làm sai mapping.</x:v>
      </x:c>
      <x:c r="C6" s="41" t="str"/>
      <x:c r="D6" s="41" t="str"/>
      <x:c r="E6" s="41" t="str"/>
    </x:row>
    <x:row r="7" ht="42" customHeight="1">
      <x:c r="A7" s="41" t="str">
        <x:v>R06</x:v>
      </x:c>
      <x:c r="B7" s="41" t="str">
        <x:v>Docker/Spark/Flink/Kafka/Neo4j đồng thời có thể vượt tài nguyên máy; chỉ bật profile cần dùng.</x:v>
      </x:c>
      <x:c r="C7" s="41" t="str"/>
      <x:c r="D7" s="41" t="str"/>
      <x:c r="E7" s="41" t="str"/>
    </x:row>
    <x:row r="8" ht="42" customHeight="1">
      <x:c r="A8" s="41" t="str">
        <x:v>R07</x:v>
      </x:c>
      <x:c r="B8" s="41" t="str">
        <x:v>Phạm vi 13 tuần ngắn; ưu tiên prototype tái lập được và RQ1–RQ4 trước, RQ5 routing là phần</x:v>
      </x:c>
      <x:c r="C8" s="41" t="str"/>
      <x:c r="D8" s="41" t="str"/>
      <x:c r="E8" s="41" t="str"/>
    </x:row>
  </x:sheetData>
  <x:dataValidations count="1">
    <x:dataValidation type="list" sqref="C2:D8">
      <x:formula1>"Low,Medium,High"</x:formula1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85" hidden="0" customWidth="1"/>
  </x:cols>
  <x:sheetData>
    <x:row r="1">
      <x:c r="A1" s="44" t="str">
        <x:v>Rule</x:v>
      </x:c>
      <x:c r="B1" s="44" t="str">
        <x:v>How to use</x:v>
      </x:c>
    </x:row>
    <x:row r="2">
      <x:c r="A2" s="41" t="str">
        <x:v>Status</x:v>
      </x:c>
      <x:c r="B2" s="41" t="str">
        <x:v>Update Weekly_Tracker!Status only when the task meets its acceptance criteria.</x:v>
      </x:c>
    </x:row>
    <x:row r="3">
      <x:c r="A3" s="41" t="str">
        <x:v>Evidence</x:v>
      </x:c>
      <x:c r="B3" s="41" t="str">
        <x:v>Add commit hash, file path, test output, screenshot, or artifact link in Evidence / Link.</x:v>
      </x:c>
    </x:row>
    <x:row r="4">
      <x:c r="A4" s="41" t="str">
        <x:v>Blocked</x:v>
      </x:c>
      <x:c r="B4" s="41" t="str">
        <x:v>Use Blocked when work has started but cannot proceed due to dependency/source/tool issue.</x:v>
      </x:c>
    </x:row>
    <x:row r="5">
      <x:c r="A5" s="41" t="str">
        <x:v>Scope changes</x:v>
      </x:c>
      <x:c r="B5" s="41" t="str">
        <x:v>Do not delete delayed tasks; move the target week and document the change in Notes.</x:v>
      </x:c>
    </x:row>
    <x:row r="6">
      <x:c r="A6" s="41" t="str">
        <x:v>Weekly review</x:v>
      </x:c>
      <x:c r="B6" s="41" t="str">
        <x:v>Review Dashboard weekly and compare completed tasks against the planned milestone.</x:v>
      </x:c>
    </x:row>
  </x:sheetData>
  <x:pageMargins left="0.7" right="0.7" top="0.75" bottom="0.75" header="0.3" footer="0.3"/>
</x:worksheet>
</file>